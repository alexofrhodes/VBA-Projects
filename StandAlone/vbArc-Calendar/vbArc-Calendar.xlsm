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ropbox\SOFTWARE\EXCEL\0 Alex\apps\"/>
    </mc:Choice>
  </mc:AlternateContent>
  <xr:revisionPtr revIDLastSave="0" documentId="8_{01F99596-96FB-45A5-B6C3-CF2C00FB1BB5}" xr6:coauthVersionLast="46" xr6:coauthVersionMax="46" xr10:uidLastSave="{00000000-0000-0000-0000-000000000000}"/>
  <bookViews>
    <workbookView xWindow="-108" yWindow="300" windowWidth="23256" windowHeight="12204" tabRatio="799" activeTab="3" xr2:uid="{346BCE3E-3EE6-417E-A527-6ACD6C20C8C7}"/>
  </bookViews>
  <sheets>
    <sheet name="ADMIN" sheetId="16" r:id="rId1"/>
    <sheet name="Staff" sheetId="3" r:id="rId2"/>
    <sheet name="2022" sheetId="17" state="hidden" r:id="rId3"/>
    <sheet name="Schedule" sheetId="1" r:id="rId4"/>
    <sheet name="Tasks" sheetId="5" r:id="rId5"/>
    <sheet name="Memo" sheetId="6" r:id="rId6"/>
    <sheet name="Completed" sheetId="7" r:id="rId7"/>
    <sheet name="2021" sheetId="2" state="hidden" r:id="rId8"/>
  </sheets>
  <functionGroups builtInGroupCount="19"/>
  <definedNames>
    <definedName name="AddMemo">Schedule!$AQ$5</definedName>
    <definedName name="AddTask">Schedule!$AO$5</definedName>
    <definedName name="ApDur">Schedule!$B$56:$B$71</definedName>
    <definedName name="calSyncRow">Schedule!$B$29</definedName>
    <definedName name="DayAbb">Schedule!$B$19:$B$25</definedName>
    <definedName name="dayCalendar">Schedule!$AM$6:$AM$42</definedName>
    <definedName name="DayForAll">Schedule!$BB$4</definedName>
    <definedName name="Days">Schedule!$A$19:$A$25</definedName>
    <definedName name="DbCol">Schedule!$AM$44</definedName>
    <definedName name="EmailTo">Schedule!$D$12</definedName>
    <definedName name="EndCol">Schedule!$B$32</definedName>
    <definedName name="Interval">Schedule!$B$6</definedName>
    <definedName name="Intervals">Schedule!$B$52:$B$54</definedName>
    <definedName name="MailSchedule">Schedule!$D$10</definedName>
    <definedName name="mainUser">Schedule!$AM$4</definedName>
    <definedName name="monthCalendar">Schedule!$AD$7:$AJ$41</definedName>
    <definedName name="Months">Schedule!$B$39:$B$50</definedName>
    <definedName name="PrintControls">Schedule!$D$4</definedName>
    <definedName name="ScYear">Schedule!$B$7</definedName>
    <definedName name="selDate">Schedule!$B$13</definedName>
    <definedName name="SelMonth">Schedule!$B$12</definedName>
    <definedName name="selMonthDay">Schedule!$B$15</definedName>
    <definedName name="SeparateRanges">Schedule!$D$8</definedName>
    <definedName name="Staff">OFFSET(Staff!$C$3,,,COUNTA(Staff!$C$3:$C$23),1)</definedName>
    <definedName name="StartCol">Schedule!$B$31</definedName>
    <definedName name="StartDay">Schedule!$B$17</definedName>
    <definedName name="StartDayNumb">Schedule!$B$18</definedName>
    <definedName name="StartTime">Schedule!$B$5</definedName>
    <definedName name="Times">Schedule!$A$39:$A$134</definedName>
    <definedName name="weekCalendar">Schedule!$AT$6:$AZ$42</definedName>
    <definedName name="Weekdays">Schedule!$AD$43:$AJ$43</definedName>
    <definedName name="weekOffset">Schedule!$B$27</definedName>
    <definedName name="YearCalendar">Schedule!$F$4:$AB$38</definedName>
    <definedName name="YesNoDD">Schedule!$A$35:$A$36</definedName>
    <definedName name="ZipTheFiles">Schedule!$D$14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5" i="1" l="1"/>
  <c r="B1" i="17" l="1"/>
  <c r="C1" i="17" s="1"/>
  <c r="D1" i="17" s="1"/>
  <c r="E1" i="17" s="1"/>
  <c r="F1" i="17" s="1"/>
  <c r="G1" i="17" s="1"/>
  <c r="H1" i="17" s="1"/>
  <c r="I1" i="17" s="1"/>
  <c r="J1" i="17" s="1"/>
  <c r="K1" i="17" s="1"/>
  <c r="L1" i="17" s="1"/>
  <c r="M1" i="17" s="1"/>
  <c r="N1" i="17" s="1"/>
  <c r="O1" i="17" s="1"/>
  <c r="P1" i="17" s="1"/>
  <c r="Q1" i="17" s="1"/>
  <c r="R1" i="17" s="1"/>
  <c r="S1" i="17" s="1"/>
  <c r="T1" i="17" s="1"/>
  <c r="U1" i="17" s="1"/>
  <c r="V1" i="17" s="1"/>
  <c r="W1" i="17" s="1"/>
  <c r="X1" i="17" s="1"/>
  <c r="Y1" i="17" s="1"/>
  <c r="Z1" i="17" s="1"/>
  <c r="AA1" i="17" s="1"/>
  <c r="AB1" i="17" s="1"/>
  <c r="AC1" i="17" s="1"/>
  <c r="AD1" i="17" s="1"/>
  <c r="AE1" i="17" s="1"/>
  <c r="AF1" i="17" s="1"/>
  <c r="AG1" i="17" s="1"/>
  <c r="AH1" i="17" s="1"/>
  <c r="AI1" i="17" s="1"/>
  <c r="AJ1" i="17" s="1"/>
  <c r="AK1" i="17" s="1"/>
  <c r="AL1" i="17" s="1"/>
  <c r="AM1" i="17" s="1"/>
  <c r="AN1" i="17" s="1"/>
  <c r="AO1" i="17" s="1"/>
  <c r="AP1" i="17" s="1"/>
  <c r="AQ1" i="17" s="1"/>
  <c r="AR1" i="17" s="1"/>
  <c r="AS1" i="17" s="1"/>
  <c r="AT1" i="17" s="1"/>
  <c r="AU1" i="17" s="1"/>
  <c r="AV1" i="17" s="1"/>
  <c r="AW1" i="17" s="1"/>
  <c r="AX1" i="17" s="1"/>
  <c r="AY1" i="17" s="1"/>
  <c r="AZ1" i="17" s="1"/>
  <c r="BA1" i="17" s="1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CL1" i="17" s="1"/>
  <c r="CM1" i="17" s="1"/>
  <c r="CN1" i="17" s="1"/>
  <c r="CO1" i="17" s="1"/>
  <c r="CP1" i="17" s="1"/>
  <c r="CQ1" i="17" s="1"/>
  <c r="CR1" i="17" s="1"/>
  <c r="CS1" i="17" s="1"/>
  <c r="CT1" i="17" s="1"/>
  <c r="CU1" i="17" s="1"/>
  <c r="CV1" i="17" s="1"/>
  <c r="CW1" i="17" s="1"/>
  <c r="CX1" i="17" s="1"/>
  <c r="CY1" i="17" s="1"/>
  <c r="CZ1" i="17" s="1"/>
  <c r="DA1" i="17" s="1"/>
  <c r="DB1" i="17" s="1"/>
  <c r="DC1" i="17" s="1"/>
  <c r="DD1" i="17" s="1"/>
  <c r="DE1" i="17" s="1"/>
  <c r="DF1" i="17" s="1"/>
  <c r="DG1" i="17" s="1"/>
  <c r="DH1" i="17" s="1"/>
  <c r="DI1" i="17" s="1"/>
  <c r="DJ1" i="17" s="1"/>
  <c r="DK1" i="17" s="1"/>
  <c r="DL1" i="17" s="1"/>
  <c r="DM1" i="17" s="1"/>
  <c r="DN1" i="17" s="1"/>
  <c r="DO1" i="17" s="1"/>
  <c r="DP1" i="17" s="1"/>
  <c r="DQ1" i="17" s="1"/>
  <c r="DR1" i="17" s="1"/>
  <c r="DS1" i="17" s="1"/>
  <c r="DT1" i="17" s="1"/>
  <c r="DU1" i="17" s="1"/>
  <c r="DV1" i="17" s="1"/>
  <c r="DW1" i="17" s="1"/>
  <c r="DX1" i="17" s="1"/>
  <c r="DY1" i="17" s="1"/>
  <c r="DZ1" i="17" s="1"/>
  <c r="EA1" i="17" s="1"/>
  <c r="EB1" i="17" s="1"/>
  <c r="EC1" i="17" s="1"/>
  <c r="ED1" i="17" s="1"/>
  <c r="EE1" i="17" s="1"/>
  <c r="EF1" i="17" s="1"/>
  <c r="EG1" i="17" s="1"/>
  <c r="EH1" i="17" s="1"/>
  <c r="EI1" i="17" s="1"/>
  <c r="EJ1" i="17" s="1"/>
  <c r="EK1" i="17" s="1"/>
  <c r="EL1" i="17" s="1"/>
  <c r="EM1" i="17" s="1"/>
  <c r="EN1" i="17" s="1"/>
  <c r="EO1" i="17" s="1"/>
  <c r="EP1" i="17" s="1"/>
  <c r="EQ1" i="17" s="1"/>
  <c r="ER1" i="17" s="1"/>
  <c r="ES1" i="17" s="1"/>
  <c r="ET1" i="17" s="1"/>
  <c r="EU1" i="17" s="1"/>
  <c r="EV1" i="17" s="1"/>
  <c r="EW1" i="17" s="1"/>
  <c r="EX1" i="17" s="1"/>
  <c r="EY1" i="17" s="1"/>
  <c r="EZ1" i="17" s="1"/>
  <c r="FA1" i="17" s="1"/>
  <c r="FB1" i="17" s="1"/>
  <c r="FC1" i="17" s="1"/>
  <c r="FD1" i="17" s="1"/>
  <c r="FE1" i="17" s="1"/>
  <c r="FF1" i="17" s="1"/>
  <c r="FG1" i="17" s="1"/>
  <c r="FH1" i="17" s="1"/>
  <c r="FI1" i="17" s="1"/>
  <c r="FJ1" i="17" s="1"/>
  <c r="FK1" i="17" s="1"/>
  <c r="FL1" i="17" s="1"/>
  <c r="FM1" i="17" s="1"/>
  <c r="FN1" i="17" s="1"/>
  <c r="FO1" i="17" s="1"/>
  <c r="FP1" i="17" s="1"/>
  <c r="FQ1" i="17" s="1"/>
  <c r="FR1" i="17" s="1"/>
  <c r="FS1" i="17" s="1"/>
  <c r="FT1" i="17" s="1"/>
  <c r="FU1" i="17" s="1"/>
  <c r="FV1" i="17" s="1"/>
  <c r="FW1" i="17" s="1"/>
  <c r="FX1" i="17" s="1"/>
  <c r="FY1" i="17" s="1"/>
  <c r="FZ1" i="17" s="1"/>
  <c r="GA1" i="17" s="1"/>
  <c r="GB1" i="17" s="1"/>
  <c r="GC1" i="17" s="1"/>
  <c r="GD1" i="17" s="1"/>
  <c r="GE1" i="17" s="1"/>
  <c r="GF1" i="17" s="1"/>
  <c r="GG1" i="17" s="1"/>
  <c r="GH1" i="17" s="1"/>
  <c r="GI1" i="17" s="1"/>
  <c r="GJ1" i="17" s="1"/>
  <c r="GK1" i="17" s="1"/>
  <c r="GL1" i="17" s="1"/>
  <c r="GM1" i="17" s="1"/>
  <c r="GN1" i="17" s="1"/>
  <c r="GO1" i="17" s="1"/>
  <c r="GP1" i="17" s="1"/>
  <c r="GQ1" i="17" s="1"/>
  <c r="GR1" i="17" s="1"/>
  <c r="GS1" i="17" s="1"/>
  <c r="GT1" i="17" s="1"/>
  <c r="GU1" i="17" s="1"/>
  <c r="GV1" i="17" s="1"/>
  <c r="GW1" i="17" s="1"/>
  <c r="GX1" i="17" s="1"/>
  <c r="GY1" i="17" s="1"/>
  <c r="GZ1" i="17" s="1"/>
  <c r="HA1" i="17" s="1"/>
  <c r="HB1" i="17" s="1"/>
  <c r="HC1" i="17" s="1"/>
  <c r="HD1" i="17" s="1"/>
  <c r="HE1" i="17" s="1"/>
  <c r="HF1" i="17" s="1"/>
  <c r="HG1" i="17" s="1"/>
  <c r="HH1" i="17" s="1"/>
  <c r="HI1" i="17" s="1"/>
  <c r="HJ1" i="17" s="1"/>
  <c r="HK1" i="17" s="1"/>
  <c r="HL1" i="17" s="1"/>
  <c r="HM1" i="17" s="1"/>
  <c r="HN1" i="17" s="1"/>
  <c r="HO1" i="17" s="1"/>
  <c r="HP1" i="17" s="1"/>
  <c r="HQ1" i="17" s="1"/>
  <c r="HR1" i="17" s="1"/>
  <c r="HS1" i="17" s="1"/>
  <c r="HT1" i="17" s="1"/>
  <c r="HU1" i="17" s="1"/>
  <c r="HV1" i="17" s="1"/>
  <c r="HW1" i="17" s="1"/>
  <c r="HX1" i="17" s="1"/>
  <c r="HY1" i="17" s="1"/>
  <c r="HZ1" i="17" s="1"/>
  <c r="IA1" i="17" s="1"/>
  <c r="IB1" i="17" s="1"/>
  <c r="IC1" i="17" s="1"/>
  <c r="ID1" i="17" s="1"/>
  <c r="IE1" i="17" s="1"/>
  <c r="IF1" i="17" s="1"/>
  <c r="IG1" i="17" s="1"/>
  <c r="IH1" i="17" s="1"/>
  <c r="II1" i="17" s="1"/>
  <c r="IJ1" i="17" s="1"/>
  <c r="IK1" i="17" s="1"/>
  <c r="IL1" i="17" s="1"/>
  <c r="IM1" i="17" s="1"/>
  <c r="IN1" i="17" s="1"/>
  <c r="IO1" i="17" s="1"/>
  <c r="IP1" i="17" s="1"/>
  <c r="IQ1" i="17" s="1"/>
  <c r="IR1" i="17" s="1"/>
  <c r="IS1" i="17" s="1"/>
  <c r="IT1" i="17" s="1"/>
  <c r="IU1" i="17" s="1"/>
  <c r="IV1" i="17" s="1"/>
  <c r="IW1" i="17" s="1"/>
  <c r="IX1" i="17" s="1"/>
  <c r="IY1" i="17" s="1"/>
  <c r="IZ1" i="17" s="1"/>
  <c r="JA1" i="17" s="1"/>
  <c r="JB1" i="17" s="1"/>
  <c r="JC1" i="17" s="1"/>
  <c r="JD1" i="17" s="1"/>
  <c r="JE1" i="17" s="1"/>
  <c r="JF1" i="17" s="1"/>
  <c r="JG1" i="17" s="1"/>
  <c r="JH1" i="17" s="1"/>
  <c r="JI1" i="17" s="1"/>
  <c r="JJ1" i="17" s="1"/>
  <c r="JK1" i="17" s="1"/>
  <c r="JL1" i="17" s="1"/>
  <c r="JM1" i="17" s="1"/>
  <c r="JN1" i="17" s="1"/>
  <c r="JO1" i="17" s="1"/>
  <c r="JP1" i="17" s="1"/>
  <c r="JQ1" i="17" s="1"/>
  <c r="JR1" i="17" s="1"/>
  <c r="JS1" i="17" s="1"/>
  <c r="JT1" i="17" s="1"/>
  <c r="JU1" i="17" s="1"/>
  <c r="JV1" i="17" s="1"/>
  <c r="JW1" i="17" s="1"/>
  <c r="JX1" i="17" s="1"/>
  <c r="JY1" i="17" s="1"/>
  <c r="JZ1" i="17" s="1"/>
  <c r="KA1" i="17" s="1"/>
  <c r="KB1" i="17" s="1"/>
  <c r="KC1" i="17" s="1"/>
  <c r="KD1" i="17" s="1"/>
  <c r="KE1" i="17" s="1"/>
  <c r="KF1" i="17" s="1"/>
  <c r="KG1" i="17" s="1"/>
  <c r="KH1" i="17" s="1"/>
  <c r="KI1" i="17" s="1"/>
  <c r="KJ1" i="17" s="1"/>
  <c r="KK1" i="17" s="1"/>
  <c r="KL1" i="17" s="1"/>
  <c r="KM1" i="17" s="1"/>
  <c r="KN1" i="17" s="1"/>
  <c r="KO1" i="17" s="1"/>
  <c r="KP1" i="17" s="1"/>
  <c r="KQ1" i="17" s="1"/>
  <c r="KR1" i="17" s="1"/>
  <c r="KS1" i="17" s="1"/>
  <c r="KT1" i="17" s="1"/>
  <c r="KU1" i="17" s="1"/>
  <c r="KV1" i="17" s="1"/>
  <c r="KW1" i="17" s="1"/>
  <c r="KX1" i="17" s="1"/>
  <c r="KY1" i="17" s="1"/>
  <c r="KZ1" i="17" s="1"/>
  <c r="LA1" i="17" s="1"/>
  <c r="LB1" i="17" s="1"/>
  <c r="LC1" i="17" s="1"/>
  <c r="LD1" i="17" s="1"/>
  <c r="LE1" i="17" s="1"/>
  <c r="LF1" i="17" s="1"/>
  <c r="LG1" i="17" s="1"/>
  <c r="LH1" i="17" s="1"/>
  <c r="LI1" i="17" s="1"/>
  <c r="LJ1" i="17" s="1"/>
  <c r="LK1" i="17" s="1"/>
  <c r="LL1" i="17" s="1"/>
  <c r="LM1" i="17" s="1"/>
  <c r="LN1" i="17" s="1"/>
  <c r="LO1" i="17" s="1"/>
  <c r="LP1" i="17" s="1"/>
  <c r="LQ1" i="17" s="1"/>
  <c r="LR1" i="17" s="1"/>
  <c r="LS1" i="17" s="1"/>
  <c r="LT1" i="17" s="1"/>
  <c r="LU1" i="17" s="1"/>
  <c r="LV1" i="17" s="1"/>
  <c r="LW1" i="17" s="1"/>
  <c r="LX1" i="17" s="1"/>
  <c r="LY1" i="17" s="1"/>
  <c r="LZ1" i="17" s="1"/>
  <c r="MA1" i="17" s="1"/>
  <c r="MB1" i="17" s="1"/>
  <c r="MC1" i="17" s="1"/>
  <c r="MD1" i="17" s="1"/>
  <c r="ME1" i="17" s="1"/>
  <c r="MF1" i="17" s="1"/>
  <c r="MG1" i="17" s="1"/>
  <c r="MH1" i="17" s="1"/>
  <c r="MI1" i="17" s="1"/>
  <c r="MJ1" i="17" s="1"/>
  <c r="MK1" i="17" s="1"/>
  <c r="ML1" i="17" s="1"/>
  <c r="MM1" i="17" s="1"/>
  <c r="MN1" i="17" s="1"/>
  <c r="MO1" i="17" s="1"/>
  <c r="MP1" i="17" s="1"/>
  <c r="MQ1" i="17" s="1"/>
  <c r="MR1" i="17" s="1"/>
  <c r="MS1" i="17" s="1"/>
  <c r="MT1" i="17" s="1"/>
  <c r="MU1" i="17" s="1"/>
  <c r="MV1" i="17" s="1"/>
  <c r="MW1" i="17" s="1"/>
  <c r="MX1" i="17" s="1"/>
  <c r="MY1" i="17" s="1"/>
  <c r="MZ1" i="17" s="1"/>
  <c r="NA1" i="17" s="1"/>
  <c r="NB1" i="17" s="1"/>
  <c r="NB1" i="2"/>
  <c r="NA1" i="2"/>
  <c r="MZ1" i="2"/>
  <c r="MY1" i="2"/>
  <c r="MX1" i="2"/>
  <c r="MW1" i="2"/>
  <c r="MV1" i="2"/>
  <c r="MU1" i="2"/>
  <c r="MT1" i="2"/>
  <c r="MS1" i="2"/>
  <c r="MR1" i="2"/>
  <c r="MQ1" i="2"/>
  <c r="MP1" i="2"/>
  <c r="MO1" i="2"/>
  <c r="MN1" i="2"/>
  <c r="MM1" i="2"/>
  <c r="ML1" i="2"/>
  <c r="MK1" i="2"/>
  <c r="MJ1" i="2"/>
  <c r="MI1" i="2"/>
  <c r="MH1" i="2"/>
  <c r="MG1" i="2"/>
  <c r="MF1" i="2"/>
  <c r="ME1" i="2"/>
  <c r="MD1" i="2"/>
  <c r="MC1" i="2"/>
  <c r="MB1" i="2"/>
  <c r="MA1" i="2"/>
  <c r="LZ1" i="2"/>
  <c r="LY1" i="2"/>
  <c r="LX1" i="2"/>
  <c r="LW1" i="2"/>
  <c r="LV1" i="2"/>
  <c r="LU1" i="2"/>
  <c r="LT1" i="2"/>
  <c r="LS1" i="2"/>
  <c r="LR1" i="2"/>
  <c r="LQ1" i="2"/>
  <c r="LP1" i="2"/>
  <c r="LO1" i="2"/>
  <c r="LN1" i="2"/>
  <c r="LM1" i="2"/>
  <c r="LL1" i="2"/>
  <c r="LK1" i="2"/>
  <c r="LJ1" i="2"/>
  <c r="LI1" i="2"/>
  <c r="LH1" i="2"/>
  <c r="LG1" i="2"/>
  <c r="LF1" i="2"/>
  <c r="LE1" i="2"/>
  <c r="LD1" i="2"/>
  <c r="LC1" i="2"/>
  <c r="LB1" i="2"/>
  <c r="LA1" i="2"/>
  <c r="KZ1" i="2"/>
  <c r="KY1" i="2"/>
  <c r="KX1" i="2"/>
  <c r="KW1" i="2"/>
  <c r="KV1" i="2"/>
  <c r="KU1" i="2"/>
  <c r="KT1" i="2"/>
  <c r="KS1" i="2"/>
  <c r="KR1" i="2"/>
  <c r="KQ1" i="2"/>
  <c r="KP1" i="2"/>
  <c r="KO1" i="2"/>
  <c r="KN1" i="2"/>
  <c r="KM1" i="2"/>
  <c r="KL1" i="2"/>
  <c r="KK1" i="2"/>
  <c r="KJ1" i="2"/>
  <c r="KI1" i="2"/>
  <c r="KH1" i="2"/>
  <c r="KG1" i="2"/>
  <c r="KF1" i="2"/>
  <c r="KE1" i="2"/>
  <c r="KD1" i="2"/>
  <c r="KC1" i="2"/>
  <c r="KB1" i="2"/>
  <c r="KA1" i="2"/>
  <c r="JZ1" i="2"/>
  <c r="JY1" i="2"/>
  <c r="JX1" i="2"/>
  <c r="JW1" i="2"/>
  <c r="JV1" i="2"/>
  <c r="JU1" i="2"/>
  <c r="JT1" i="2"/>
  <c r="JS1" i="2"/>
  <c r="JR1" i="2"/>
  <c r="JQ1" i="2"/>
  <c r="JP1" i="2"/>
  <c r="JO1" i="2"/>
  <c r="JN1" i="2"/>
  <c r="JM1" i="2"/>
  <c r="JL1" i="2"/>
  <c r="JK1" i="2"/>
  <c r="JJ1" i="2"/>
  <c r="JI1" i="2"/>
  <c r="JH1" i="2"/>
  <c r="JG1" i="2"/>
  <c r="JF1" i="2"/>
  <c r="JE1" i="2"/>
  <c r="JD1" i="2"/>
  <c r="JC1" i="2"/>
  <c r="JB1" i="2"/>
  <c r="JA1" i="2"/>
  <c r="IZ1" i="2"/>
  <c r="IY1" i="2"/>
  <c r="IX1" i="2"/>
  <c r="IW1" i="2"/>
  <c r="IV1" i="2"/>
  <c r="IU1" i="2"/>
  <c r="IT1" i="2"/>
  <c r="IS1" i="2"/>
  <c r="IR1" i="2"/>
  <c r="IQ1" i="2"/>
  <c r="IP1" i="2"/>
  <c r="IO1" i="2"/>
  <c r="IN1" i="2"/>
  <c r="IM1" i="2"/>
  <c r="IL1" i="2"/>
  <c r="IK1" i="2"/>
  <c r="IJ1" i="2"/>
  <c r="II1" i="2"/>
  <c r="IH1" i="2"/>
  <c r="IG1" i="2"/>
  <c r="IF1" i="2"/>
  <c r="IE1" i="2"/>
  <c r="ID1" i="2"/>
  <c r="IC1" i="2"/>
  <c r="IB1" i="2"/>
  <c r="IA1" i="2"/>
  <c r="HZ1" i="2"/>
  <c r="HY1" i="2"/>
  <c r="HX1" i="2"/>
  <c r="HW1" i="2"/>
  <c r="HV1" i="2"/>
  <c r="HU1" i="2"/>
  <c r="HT1" i="2"/>
  <c r="HS1" i="2"/>
  <c r="HR1" i="2"/>
  <c r="HQ1" i="2"/>
  <c r="HP1" i="2"/>
  <c r="HO1" i="2"/>
  <c r="HN1" i="2"/>
  <c r="HM1" i="2"/>
  <c r="HL1" i="2"/>
  <c r="HK1" i="2"/>
  <c r="HJ1" i="2"/>
  <c r="HI1" i="2"/>
  <c r="HH1" i="2"/>
  <c r="HG1" i="2"/>
  <c r="HF1" i="2"/>
  <c r="HE1" i="2"/>
  <c r="HD1" i="2"/>
  <c r="HC1" i="2"/>
  <c r="HB1" i="2"/>
  <c r="HA1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Y1" i="2"/>
  <c r="CX1" i="2"/>
  <c r="CW1" i="2"/>
  <c r="CV1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B54" i="1"/>
  <c r="B52" i="1" s="1"/>
  <c r="B53" i="1"/>
  <c r="V32" i="1"/>
  <c r="W32" i="1" s="1"/>
  <c r="X32" i="1" s="1"/>
  <c r="Y32" i="1" s="1"/>
  <c r="Z32" i="1" s="1"/>
  <c r="AA32" i="1" s="1"/>
  <c r="AB32" i="1" s="1"/>
  <c r="N32" i="1"/>
  <c r="O32" i="1" s="1"/>
  <c r="P32" i="1" s="1"/>
  <c r="Q32" i="1" s="1"/>
  <c r="R32" i="1" s="1"/>
  <c r="S32" i="1" s="1"/>
  <c r="T32" i="1" s="1"/>
  <c r="F32" i="1"/>
  <c r="G32" i="1" s="1"/>
  <c r="H32" i="1" s="1"/>
  <c r="I32" i="1" s="1"/>
  <c r="J32" i="1" s="1"/>
  <c r="K32" i="1" s="1"/>
  <c r="L32" i="1" s="1"/>
  <c r="V31" i="1"/>
  <c r="N31" i="1"/>
  <c r="F31" i="1"/>
  <c r="V23" i="1"/>
  <c r="W23" i="1" s="1"/>
  <c r="X23" i="1" s="1"/>
  <c r="Y23" i="1" s="1"/>
  <c r="Z23" i="1" s="1"/>
  <c r="AA23" i="1" s="1"/>
  <c r="AB23" i="1" s="1"/>
  <c r="N23" i="1"/>
  <c r="O23" i="1" s="1"/>
  <c r="P23" i="1" s="1"/>
  <c r="Q23" i="1" s="1"/>
  <c r="R23" i="1" s="1"/>
  <c r="S23" i="1" s="1"/>
  <c r="T23" i="1" s="1"/>
  <c r="F23" i="1"/>
  <c r="G23" i="1" s="1"/>
  <c r="H23" i="1" s="1"/>
  <c r="I23" i="1" s="1"/>
  <c r="J23" i="1" s="1"/>
  <c r="K23" i="1" s="1"/>
  <c r="L23" i="1" s="1"/>
  <c r="V22" i="1"/>
  <c r="N22" i="1"/>
  <c r="F22" i="1"/>
  <c r="B18" i="1"/>
  <c r="V14" i="1"/>
  <c r="W14" i="1" s="1"/>
  <c r="X14" i="1" s="1"/>
  <c r="Y14" i="1" s="1"/>
  <c r="Z14" i="1" s="1"/>
  <c r="AA14" i="1" s="1"/>
  <c r="AB14" i="1" s="1"/>
  <c r="N14" i="1"/>
  <c r="O14" i="1" s="1"/>
  <c r="P14" i="1" s="1"/>
  <c r="Q14" i="1" s="1"/>
  <c r="R14" i="1" s="1"/>
  <c r="S14" i="1" s="1"/>
  <c r="T14" i="1" s="1"/>
  <c r="F14" i="1"/>
  <c r="G14" i="1" s="1"/>
  <c r="H14" i="1" s="1"/>
  <c r="I14" i="1" s="1"/>
  <c r="J14" i="1" s="1"/>
  <c r="K14" i="1" s="1"/>
  <c r="L14" i="1" s="1"/>
  <c r="V13" i="1"/>
  <c r="N13" i="1"/>
  <c r="F13" i="1"/>
  <c r="BB6" i="1"/>
  <c r="BB7" i="1" s="1"/>
  <c r="BB8" i="1" s="1"/>
  <c r="BB9" i="1" s="1"/>
  <c r="BB10" i="1" s="1"/>
  <c r="BB11" i="1" s="1"/>
  <c r="BB12" i="1" s="1"/>
  <c r="BB13" i="1" s="1"/>
  <c r="BB14" i="1" s="1"/>
  <c r="BB15" i="1" s="1"/>
  <c r="BB16" i="1" s="1"/>
  <c r="BB17" i="1" s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AL6" i="1"/>
  <c r="AS6" i="1" s="1"/>
  <c r="AD6" i="1"/>
  <c r="AE6" i="1" s="1"/>
  <c r="AF6" i="1" s="1"/>
  <c r="AG6" i="1" s="1"/>
  <c r="AH6" i="1" s="1"/>
  <c r="AI6" i="1" s="1"/>
  <c r="AJ6" i="1" s="1"/>
  <c r="AD12" i="1" s="1"/>
  <c r="AE12" i="1" s="1"/>
  <c r="AF12" i="1" s="1"/>
  <c r="AG12" i="1" s="1"/>
  <c r="AH12" i="1" s="1"/>
  <c r="AI12" i="1" s="1"/>
  <c r="AJ12" i="1" s="1"/>
  <c r="AD18" i="1" s="1"/>
  <c r="AE18" i="1" s="1"/>
  <c r="AF18" i="1" s="1"/>
  <c r="AG18" i="1" s="1"/>
  <c r="AH18" i="1" s="1"/>
  <c r="AI18" i="1" s="1"/>
  <c r="AJ18" i="1" s="1"/>
  <c r="AD24" i="1" s="1"/>
  <c r="AE24" i="1" s="1"/>
  <c r="AF24" i="1" s="1"/>
  <c r="AG24" i="1" s="1"/>
  <c r="AH24" i="1" s="1"/>
  <c r="AI24" i="1" s="1"/>
  <c r="AJ24" i="1" s="1"/>
  <c r="AD30" i="1" s="1"/>
  <c r="AE30" i="1" s="1"/>
  <c r="AF30" i="1" s="1"/>
  <c r="AG30" i="1" s="1"/>
  <c r="AH30" i="1" s="1"/>
  <c r="AI30" i="1" s="1"/>
  <c r="AJ30" i="1" s="1"/>
  <c r="AD36" i="1" s="1"/>
  <c r="AE36" i="1" s="1"/>
  <c r="AF36" i="1" s="1"/>
  <c r="AG36" i="1" s="1"/>
  <c r="AH36" i="1" s="1"/>
  <c r="AI36" i="1" s="1"/>
  <c r="AJ36" i="1" s="1"/>
  <c r="AT5" i="1"/>
  <c r="AU5" i="1" s="1"/>
  <c r="AV5" i="1" s="1"/>
  <c r="AW5" i="1" s="1"/>
  <c r="AX5" i="1" s="1"/>
  <c r="AY5" i="1" s="1"/>
  <c r="AZ5" i="1" s="1"/>
  <c r="AM5" i="1"/>
  <c r="AD5" i="1"/>
  <c r="AE5" i="1" s="1"/>
  <c r="AF5" i="1" s="1"/>
  <c r="AG5" i="1" s="1"/>
  <c r="AH5" i="1" s="1"/>
  <c r="AI5" i="1" s="1"/>
  <c r="AJ5" i="1" s="1"/>
  <c r="V5" i="1"/>
  <c r="W5" i="1" s="1"/>
  <c r="X5" i="1" s="1"/>
  <c r="Y5" i="1" s="1"/>
  <c r="Z5" i="1" s="1"/>
  <c r="AA5" i="1" s="1"/>
  <c r="AB5" i="1" s="1"/>
  <c r="N5" i="1"/>
  <c r="O5" i="1" s="1"/>
  <c r="P5" i="1" s="1"/>
  <c r="Q5" i="1" s="1"/>
  <c r="R5" i="1" s="1"/>
  <c r="S5" i="1" s="1"/>
  <c r="T5" i="1" s="1"/>
  <c r="F5" i="1"/>
  <c r="G5" i="1" s="1"/>
  <c r="H5" i="1" s="1"/>
  <c r="I5" i="1" s="1"/>
  <c r="J5" i="1" s="1"/>
  <c r="K5" i="1" s="1"/>
  <c r="L5" i="1" s="1"/>
  <c r="AD4" i="1"/>
  <c r="AT3" i="1" s="1"/>
  <c r="V4" i="1"/>
  <c r="V6" i="1" s="1"/>
  <c r="W6" i="1" s="1"/>
  <c r="X6" i="1" s="1"/>
  <c r="Y6" i="1" s="1"/>
  <c r="Z6" i="1" s="1"/>
  <c r="AA6" i="1" s="1"/>
  <c r="AB6" i="1" s="1"/>
  <c r="V7" i="1" s="1"/>
  <c r="W7" i="1" s="1"/>
  <c r="X7" i="1" s="1"/>
  <c r="Y7" i="1" s="1"/>
  <c r="Z7" i="1" s="1"/>
  <c r="AA7" i="1" s="1"/>
  <c r="AB7" i="1" s="1"/>
  <c r="V8" i="1" s="1"/>
  <c r="W8" i="1" s="1"/>
  <c r="X8" i="1" s="1"/>
  <c r="Y8" i="1" s="1"/>
  <c r="Z8" i="1" s="1"/>
  <c r="AA8" i="1" s="1"/>
  <c r="AB8" i="1" s="1"/>
  <c r="V9" i="1" s="1"/>
  <c r="W9" i="1" s="1"/>
  <c r="X9" i="1" s="1"/>
  <c r="Y9" i="1" s="1"/>
  <c r="Z9" i="1" s="1"/>
  <c r="AA9" i="1" s="1"/>
  <c r="AB9" i="1" s="1"/>
  <c r="V10" i="1" s="1"/>
  <c r="W10" i="1" s="1"/>
  <c r="X10" i="1" s="1"/>
  <c r="Y10" i="1" s="1"/>
  <c r="Z10" i="1" s="1"/>
  <c r="AA10" i="1" s="1"/>
  <c r="AB10" i="1" s="1"/>
  <c r="V11" i="1" s="1"/>
  <c r="W11" i="1" s="1"/>
  <c r="X11" i="1" s="1"/>
  <c r="Y11" i="1" s="1"/>
  <c r="Z11" i="1" s="1"/>
  <c r="AA11" i="1" s="1"/>
  <c r="AB11" i="1" s="1"/>
  <c r="N4" i="1"/>
  <c r="F4" i="1"/>
  <c r="B31" i="1"/>
  <c r="AM44" i="1"/>
  <c r="B32" i="1"/>
  <c r="F15" i="1" l="1"/>
  <c r="G15" i="1" s="1"/>
  <c r="H15" i="1" s="1"/>
  <c r="I15" i="1" s="1"/>
  <c r="J15" i="1" s="1"/>
  <c r="K15" i="1" s="1"/>
  <c r="L15" i="1" s="1"/>
  <c r="F16" i="1" s="1"/>
  <c r="G16" i="1" s="1"/>
  <c r="H16" i="1" s="1"/>
  <c r="I16" i="1" s="1"/>
  <c r="J16" i="1" s="1"/>
  <c r="K16" i="1" s="1"/>
  <c r="L16" i="1" s="1"/>
  <c r="F17" i="1" s="1"/>
  <c r="G17" i="1" s="1"/>
  <c r="H17" i="1" s="1"/>
  <c r="I17" i="1" s="1"/>
  <c r="J17" i="1" s="1"/>
  <c r="K17" i="1" s="1"/>
  <c r="L17" i="1" s="1"/>
  <c r="F18" i="1" s="1"/>
  <c r="G18" i="1" s="1"/>
  <c r="H18" i="1" s="1"/>
  <c r="I18" i="1" s="1"/>
  <c r="J18" i="1" s="1"/>
  <c r="K18" i="1" s="1"/>
  <c r="L18" i="1" s="1"/>
  <c r="F19" i="1" s="1"/>
  <c r="G19" i="1" s="1"/>
  <c r="H19" i="1" s="1"/>
  <c r="I19" i="1" s="1"/>
  <c r="J19" i="1" s="1"/>
  <c r="K19" i="1" s="1"/>
  <c r="L19" i="1" s="1"/>
  <c r="F20" i="1" s="1"/>
  <c r="G20" i="1" s="1"/>
  <c r="H20" i="1" s="1"/>
  <c r="I20" i="1" s="1"/>
  <c r="J20" i="1" s="1"/>
  <c r="K20" i="1" s="1"/>
  <c r="L20" i="1" s="1"/>
  <c r="N15" i="1"/>
  <c r="O15" i="1" s="1"/>
  <c r="P15" i="1" s="1"/>
  <c r="Q15" i="1" s="1"/>
  <c r="R15" i="1" s="1"/>
  <c r="S15" i="1" s="1"/>
  <c r="T15" i="1" s="1"/>
  <c r="N16" i="1" s="1"/>
  <c r="O16" i="1" s="1"/>
  <c r="P16" i="1" s="1"/>
  <c r="Q16" i="1" s="1"/>
  <c r="R16" i="1" s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O20" i="1" s="1"/>
  <c r="P20" i="1" s="1"/>
  <c r="Q20" i="1" s="1"/>
  <c r="R20" i="1" s="1"/>
  <c r="S20" i="1" s="1"/>
  <c r="T20" i="1" s="1"/>
  <c r="F24" i="1"/>
  <c r="G24" i="1" s="1"/>
  <c r="H24" i="1" s="1"/>
  <c r="I24" i="1" s="1"/>
  <c r="J24" i="1" s="1"/>
  <c r="K24" i="1" s="1"/>
  <c r="L24" i="1" s="1"/>
  <c r="F25" i="1" s="1"/>
  <c r="G25" i="1" s="1"/>
  <c r="H25" i="1" s="1"/>
  <c r="I25" i="1" s="1"/>
  <c r="J25" i="1" s="1"/>
  <c r="K25" i="1" s="1"/>
  <c r="L25" i="1" s="1"/>
  <c r="F26" i="1" s="1"/>
  <c r="G26" i="1" s="1"/>
  <c r="H26" i="1" s="1"/>
  <c r="I26" i="1" s="1"/>
  <c r="J26" i="1" s="1"/>
  <c r="K26" i="1" s="1"/>
  <c r="L26" i="1" s="1"/>
  <c r="F27" i="1" s="1"/>
  <c r="G27" i="1" s="1"/>
  <c r="H27" i="1" s="1"/>
  <c r="I27" i="1" s="1"/>
  <c r="J27" i="1" s="1"/>
  <c r="K27" i="1" s="1"/>
  <c r="L27" i="1" s="1"/>
  <c r="F28" i="1" s="1"/>
  <c r="G28" i="1" s="1"/>
  <c r="H28" i="1" s="1"/>
  <c r="I28" i="1" s="1"/>
  <c r="J28" i="1" s="1"/>
  <c r="K28" i="1" s="1"/>
  <c r="L28" i="1" s="1"/>
  <c r="F29" i="1" s="1"/>
  <c r="G29" i="1" s="1"/>
  <c r="H29" i="1" s="1"/>
  <c r="I29" i="1" s="1"/>
  <c r="J29" i="1" s="1"/>
  <c r="K29" i="1" s="1"/>
  <c r="L29" i="1" s="1"/>
  <c r="F6" i="1"/>
  <c r="G6" i="1" s="1"/>
  <c r="H6" i="1" s="1"/>
  <c r="I6" i="1" s="1"/>
  <c r="J6" i="1" s="1"/>
  <c r="K6" i="1" s="1"/>
  <c r="L6" i="1" s="1"/>
  <c r="F7" i="1" s="1"/>
  <c r="G7" i="1" s="1"/>
  <c r="H7" i="1" s="1"/>
  <c r="I7" i="1" s="1"/>
  <c r="J7" i="1" s="1"/>
  <c r="K7" i="1" s="1"/>
  <c r="L7" i="1" s="1"/>
  <c r="F8" i="1" s="1"/>
  <c r="G8" i="1" s="1"/>
  <c r="H8" i="1" s="1"/>
  <c r="I8" i="1" s="1"/>
  <c r="J8" i="1" s="1"/>
  <c r="K8" i="1" s="1"/>
  <c r="L8" i="1" s="1"/>
  <c r="F9" i="1" s="1"/>
  <c r="G9" i="1" s="1"/>
  <c r="H9" i="1" s="1"/>
  <c r="I9" i="1" s="1"/>
  <c r="J9" i="1" s="1"/>
  <c r="K9" i="1" s="1"/>
  <c r="L9" i="1" s="1"/>
  <c r="F10" i="1" s="1"/>
  <c r="G10" i="1" s="1"/>
  <c r="H10" i="1" s="1"/>
  <c r="I10" i="1" s="1"/>
  <c r="J10" i="1" s="1"/>
  <c r="K10" i="1" s="1"/>
  <c r="L10" i="1" s="1"/>
  <c r="F11" i="1" s="1"/>
  <c r="G11" i="1" s="1"/>
  <c r="H11" i="1" s="1"/>
  <c r="I11" i="1" s="1"/>
  <c r="J11" i="1" s="1"/>
  <c r="K11" i="1" s="1"/>
  <c r="L11" i="1" s="1"/>
  <c r="V15" i="1"/>
  <c r="W15" i="1" s="1"/>
  <c r="X15" i="1" s="1"/>
  <c r="Y15" i="1" s="1"/>
  <c r="Z15" i="1" s="1"/>
  <c r="AA15" i="1" s="1"/>
  <c r="AB15" i="1" s="1"/>
  <c r="V16" i="1" s="1"/>
  <c r="W16" i="1" s="1"/>
  <c r="X16" i="1" s="1"/>
  <c r="Y16" i="1" s="1"/>
  <c r="Z16" i="1" s="1"/>
  <c r="AA16" i="1" s="1"/>
  <c r="AB16" i="1" s="1"/>
  <c r="V17" i="1" s="1"/>
  <c r="W17" i="1" s="1"/>
  <c r="X17" i="1" s="1"/>
  <c r="Y17" i="1" s="1"/>
  <c r="Z17" i="1" s="1"/>
  <c r="AA17" i="1" s="1"/>
  <c r="AB17" i="1" s="1"/>
  <c r="V18" i="1" s="1"/>
  <c r="W18" i="1" s="1"/>
  <c r="X18" i="1" s="1"/>
  <c r="Y18" i="1" s="1"/>
  <c r="Z18" i="1" s="1"/>
  <c r="AA18" i="1" s="1"/>
  <c r="AB18" i="1" s="1"/>
  <c r="V19" i="1" s="1"/>
  <c r="W19" i="1" s="1"/>
  <c r="X19" i="1" s="1"/>
  <c r="Y19" i="1" s="1"/>
  <c r="Z19" i="1" s="1"/>
  <c r="AA19" i="1" s="1"/>
  <c r="AB19" i="1" s="1"/>
  <c r="V20" i="1" s="1"/>
  <c r="W20" i="1" s="1"/>
  <c r="X20" i="1" s="1"/>
  <c r="Y20" i="1" s="1"/>
  <c r="Z20" i="1" s="1"/>
  <c r="AA20" i="1" s="1"/>
  <c r="AB20" i="1" s="1"/>
  <c r="N6" i="1"/>
  <c r="O6" i="1" s="1"/>
  <c r="P6" i="1" s="1"/>
  <c r="Q6" i="1" s="1"/>
  <c r="R6" i="1" s="1"/>
  <c r="S6" i="1" s="1"/>
  <c r="T6" i="1" s="1"/>
  <c r="N7" i="1" s="1"/>
  <c r="O7" i="1" s="1"/>
  <c r="P7" i="1" s="1"/>
  <c r="Q7" i="1" s="1"/>
  <c r="R7" i="1" s="1"/>
  <c r="S7" i="1" s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Q11" i="1" s="1"/>
  <c r="R11" i="1" s="1"/>
  <c r="S11" i="1" s="1"/>
  <c r="T11" i="1" s="1"/>
  <c r="N24" i="1"/>
  <c r="O24" i="1" s="1"/>
  <c r="P24" i="1" s="1"/>
  <c r="Q24" i="1" s="1"/>
  <c r="R24" i="1" s="1"/>
  <c r="S24" i="1" s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T28" i="1" s="1"/>
  <c r="N29" i="1" s="1"/>
  <c r="O29" i="1" s="1"/>
  <c r="P29" i="1" s="1"/>
  <c r="Q29" i="1" s="1"/>
  <c r="R29" i="1" s="1"/>
  <c r="S29" i="1" s="1"/>
  <c r="T29" i="1" s="1"/>
  <c r="V33" i="1"/>
  <c r="W33" i="1" s="1"/>
  <c r="X33" i="1" s="1"/>
  <c r="Y33" i="1" s="1"/>
  <c r="Z33" i="1" s="1"/>
  <c r="AA33" i="1" s="1"/>
  <c r="AB33" i="1" s="1"/>
  <c r="V34" i="1" s="1"/>
  <c r="W34" i="1" s="1"/>
  <c r="X34" i="1" s="1"/>
  <c r="Y34" i="1" s="1"/>
  <c r="Z34" i="1" s="1"/>
  <c r="AA34" i="1" s="1"/>
  <c r="AB34" i="1" s="1"/>
  <c r="V35" i="1" s="1"/>
  <c r="W35" i="1" s="1"/>
  <c r="X35" i="1" s="1"/>
  <c r="Y35" i="1" s="1"/>
  <c r="Z35" i="1" s="1"/>
  <c r="AA35" i="1" s="1"/>
  <c r="AB35" i="1" s="1"/>
  <c r="V36" i="1" s="1"/>
  <c r="W36" i="1" s="1"/>
  <c r="X36" i="1" s="1"/>
  <c r="Y36" i="1" s="1"/>
  <c r="Z36" i="1" s="1"/>
  <c r="AA36" i="1" s="1"/>
  <c r="AB36" i="1" s="1"/>
  <c r="V37" i="1" s="1"/>
  <c r="W37" i="1" s="1"/>
  <c r="X37" i="1" s="1"/>
  <c r="Y37" i="1" s="1"/>
  <c r="Z37" i="1" s="1"/>
  <c r="AA37" i="1" s="1"/>
  <c r="AB37" i="1" s="1"/>
  <c r="V38" i="1" s="1"/>
  <c r="W38" i="1" s="1"/>
  <c r="X38" i="1" s="1"/>
  <c r="Y38" i="1" s="1"/>
  <c r="Z38" i="1" s="1"/>
  <c r="AA38" i="1" s="1"/>
  <c r="AB38" i="1" s="1"/>
  <c r="AL7" i="1"/>
  <c r="V24" i="1"/>
  <c r="W24" i="1" s="1"/>
  <c r="X24" i="1" s="1"/>
  <c r="Y24" i="1" s="1"/>
  <c r="Z24" i="1" s="1"/>
  <c r="AA24" i="1" s="1"/>
  <c r="AB24" i="1" s="1"/>
  <c r="V25" i="1" s="1"/>
  <c r="W25" i="1" s="1"/>
  <c r="X25" i="1" s="1"/>
  <c r="Y25" i="1" s="1"/>
  <c r="Z25" i="1" s="1"/>
  <c r="AA25" i="1" s="1"/>
  <c r="AB25" i="1" s="1"/>
  <c r="V26" i="1" s="1"/>
  <c r="W26" i="1" s="1"/>
  <c r="X26" i="1" s="1"/>
  <c r="Y26" i="1" s="1"/>
  <c r="Z26" i="1" s="1"/>
  <c r="AA26" i="1" s="1"/>
  <c r="AB26" i="1" s="1"/>
  <c r="V27" i="1" s="1"/>
  <c r="W27" i="1" s="1"/>
  <c r="X27" i="1" s="1"/>
  <c r="Y27" i="1" s="1"/>
  <c r="Z27" i="1" s="1"/>
  <c r="AA27" i="1" s="1"/>
  <c r="AB27" i="1" s="1"/>
  <c r="V28" i="1" s="1"/>
  <c r="W28" i="1" s="1"/>
  <c r="X28" i="1" s="1"/>
  <c r="Y28" i="1" s="1"/>
  <c r="Z28" i="1" s="1"/>
  <c r="AA28" i="1" s="1"/>
  <c r="AB28" i="1" s="1"/>
  <c r="V29" i="1" s="1"/>
  <c r="W29" i="1" s="1"/>
  <c r="X29" i="1" s="1"/>
  <c r="Y29" i="1" s="1"/>
  <c r="Z29" i="1" s="1"/>
  <c r="AA29" i="1" s="1"/>
  <c r="AB29" i="1" s="1"/>
  <c r="F33" i="1"/>
  <c r="G33" i="1" s="1"/>
  <c r="H33" i="1" s="1"/>
  <c r="I33" i="1" s="1"/>
  <c r="J33" i="1" s="1"/>
  <c r="K33" i="1" s="1"/>
  <c r="L33" i="1" s="1"/>
  <c r="F34" i="1" s="1"/>
  <c r="G34" i="1" s="1"/>
  <c r="H34" i="1" s="1"/>
  <c r="I34" i="1" s="1"/>
  <c r="J34" i="1" s="1"/>
  <c r="K34" i="1" s="1"/>
  <c r="L34" i="1" s="1"/>
  <c r="F35" i="1" s="1"/>
  <c r="G35" i="1" s="1"/>
  <c r="H35" i="1" s="1"/>
  <c r="I35" i="1" s="1"/>
  <c r="J35" i="1" s="1"/>
  <c r="K35" i="1" s="1"/>
  <c r="L35" i="1" s="1"/>
  <c r="F36" i="1" s="1"/>
  <c r="G36" i="1" s="1"/>
  <c r="H36" i="1" s="1"/>
  <c r="I36" i="1" s="1"/>
  <c r="J36" i="1" s="1"/>
  <c r="K36" i="1" s="1"/>
  <c r="L36" i="1" s="1"/>
  <c r="F37" i="1" s="1"/>
  <c r="G37" i="1" s="1"/>
  <c r="H37" i="1" s="1"/>
  <c r="I37" i="1" s="1"/>
  <c r="J37" i="1" s="1"/>
  <c r="K37" i="1" s="1"/>
  <c r="L37" i="1" s="1"/>
  <c r="F38" i="1" s="1"/>
  <c r="G38" i="1" s="1"/>
  <c r="H38" i="1" s="1"/>
  <c r="I38" i="1" s="1"/>
  <c r="J38" i="1" s="1"/>
  <c r="K38" i="1" s="1"/>
  <c r="L38" i="1" s="1"/>
  <c r="N33" i="1"/>
  <c r="O33" i="1" s="1"/>
  <c r="P33" i="1" s="1"/>
  <c r="Q33" i="1" s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S37" i="1" s="1"/>
  <c r="T37" i="1" s="1"/>
  <c r="N38" i="1" s="1"/>
  <c r="O38" i="1" s="1"/>
  <c r="P38" i="1" s="1"/>
  <c r="Q38" i="1" s="1"/>
  <c r="R38" i="1" s="1"/>
  <c r="S38" i="1" s="1"/>
  <c r="T38" i="1" s="1"/>
  <c r="AS7" i="1" l="1"/>
  <c r="AL8" i="1"/>
  <c r="AS8" i="1" l="1"/>
  <c r="AL9" i="1"/>
  <c r="AS9" i="1" l="1"/>
  <c r="AL10" i="1"/>
  <c r="AL11" i="1" l="1"/>
  <c r="AS10" i="1"/>
  <c r="AS11" i="1" l="1"/>
  <c r="AL12" i="1"/>
  <c r="AL13" i="1" l="1"/>
  <c r="AS12" i="1"/>
  <c r="AL14" i="1" l="1"/>
  <c r="AS13" i="1"/>
  <c r="AL15" i="1" l="1"/>
  <c r="AS14" i="1"/>
  <c r="AL16" i="1" l="1"/>
  <c r="AS15" i="1"/>
  <c r="AL17" i="1" l="1"/>
  <c r="AS16" i="1"/>
  <c r="AS17" i="1" l="1"/>
  <c r="AL18" i="1"/>
  <c r="AS18" i="1" l="1"/>
  <c r="AL19" i="1"/>
  <c r="AL20" i="1" l="1"/>
  <c r="AS19" i="1"/>
  <c r="AL21" i="1" l="1"/>
  <c r="AS20" i="1"/>
  <c r="AL22" i="1" l="1"/>
  <c r="AS21" i="1"/>
  <c r="AS22" i="1" l="1"/>
  <c r="AL23" i="1"/>
  <c r="AS23" i="1" l="1"/>
  <c r="AL24" i="1"/>
  <c r="AS24" i="1" l="1"/>
  <c r="AL25" i="1"/>
  <c r="AS25" i="1" l="1"/>
  <c r="AL26" i="1"/>
  <c r="AS26" i="1" l="1"/>
  <c r="AL27" i="1"/>
  <c r="AS27" i="1" l="1"/>
  <c r="AL28" i="1"/>
  <c r="AS28" i="1" l="1"/>
  <c r="AL29" i="1"/>
  <c r="AS29" i="1" l="1"/>
  <c r="AL30" i="1"/>
  <c r="AL31" i="1" l="1"/>
  <c r="AS30" i="1"/>
  <c r="AL32" i="1" l="1"/>
  <c r="AS31" i="1"/>
  <c r="AS32" i="1" l="1"/>
  <c r="AL33" i="1"/>
  <c r="AS33" i="1" l="1"/>
  <c r="AL34" i="1"/>
  <c r="AS34" i="1" l="1"/>
  <c r="AL35" i="1"/>
  <c r="AS35" i="1" l="1"/>
  <c r="AL36" i="1"/>
  <c r="AS36" i="1" l="1"/>
  <c r="AL37" i="1"/>
  <c r="AS37" i="1" l="1"/>
  <c r="AL38" i="1"/>
  <c r="AL39" i="1" l="1"/>
  <c r="AS38" i="1"/>
  <c r="AL40" i="1" l="1"/>
  <c r="AS39" i="1"/>
  <c r="AS40" i="1" l="1"/>
  <c r="AL41" i="1"/>
  <c r="AS41" i="1" l="1"/>
  <c r="AL42" i="1"/>
  <c r="AS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  <author>Randy Austin</author>
  </authors>
  <commentList>
    <comment ref="BB4" authorId="0" shapeId="0" xr:uid="{01D418F1-8188-46D8-A02E-F167CB3E6FB8}">
      <text>
        <r>
          <rPr>
            <b/>
            <sz val="16"/>
            <color indexed="81"/>
            <rFont val="Tahoma"/>
            <family val="2"/>
            <charset val="161"/>
          </rPr>
          <t>SELECTED DATE VIEW FOR MULTIPLE USERS
CHANGE DATE FROM YEAR OR MONTH VIEW</t>
        </r>
      </text>
    </comment>
    <comment ref="B5" authorId="1" shapeId="0" xr:uid="{F5FE034A-35F0-4C70-87DE-9D9455914289}">
      <text>
        <r>
          <rPr>
            <b/>
            <sz val="9"/>
            <color indexed="81"/>
            <rFont val="Tahoma"/>
            <family val="2"/>
          </rPr>
          <t>Change This Only Before Scheduling Appointments</t>
        </r>
      </text>
    </comment>
    <comment ref="B6" authorId="1" shapeId="0" xr:uid="{DA038DE3-0EDC-4669-B1EB-E675ECDE9DA3}">
      <text>
        <r>
          <rPr>
            <b/>
            <sz val="9"/>
            <color indexed="81"/>
            <rFont val="Tahoma"/>
            <family val="2"/>
          </rPr>
          <t>Change This Only Before Scheduling Appointments</t>
        </r>
      </text>
    </comment>
    <comment ref="C9" authorId="0" shapeId="0" xr:uid="{84A7530D-0A74-4A43-8BC6-09F84A61A7AF}">
      <text>
        <r>
          <rPr>
            <b/>
            <sz val="16"/>
            <color indexed="81"/>
            <rFont val="Tahoma"/>
            <family val="2"/>
            <charset val="161"/>
          </rPr>
          <t>SEPARATE MULTIPLE  NAMES WITH -ENTER-
OR ADD AN -ENTER- AFTER ONE NAME</t>
        </r>
      </text>
    </comment>
  </commentList>
</comments>
</file>

<file path=xl/sharedStrings.xml><?xml version="1.0" encoding="utf-8"?>
<sst xmlns="http://schemas.openxmlformats.org/spreadsheetml/2006/main" count="135" uniqueCount="106">
  <si>
    <t>Start Day</t>
  </si>
  <si>
    <t>Monday</t>
  </si>
  <si>
    <t>Mo</t>
  </si>
  <si>
    <t>Tuesday</t>
  </si>
  <si>
    <t>Tu</t>
  </si>
  <si>
    <t>Wednesday</t>
  </si>
  <si>
    <t>We</t>
  </si>
  <si>
    <t>Thursday</t>
  </si>
  <si>
    <t>Th</t>
  </si>
  <si>
    <t>Friday</t>
  </si>
  <si>
    <t>Fr</t>
  </si>
  <si>
    <t>Saturday</t>
  </si>
  <si>
    <t>Sa</t>
  </si>
  <si>
    <t>Sunday</t>
  </si>
  <si>
    <t>Su</t>
  </si>
  <si>
    <t>Start Day Num</t>
  </si>
  <si>
    <t>Staff List</t>
  </si>
  <si>
    <t>Selected Row</t>
  </si>
  <si>
    <t>Staff Name</t>
  </si>
  <si>
    <t>Email</t>
  </si>
  <si>
    <t>Outlook Calendar ID</t>
  </si>
  <si>
    <t>Zapier-G. Cal. Webhook ID</t>
  </si>
  <si>
    <t>Staff:</t>
  </si>
  <si>
    <t>Time</t>
  </si>
  <si>
    <t>Start Time</t>
  </si>
  <si>
    <t>Sched. Interval</t>
  </si>
  <si>
    <t>Sched. Year</t>
  </si>
  <si>
    <t>Send To Outlook:</t>
  </si>
  <si>
    <t>No</t>
  </si>
  <si>
    <t>Send To Google C.</t>
  </si>
  <si>
    <t>Def. Appt. Duration</t>
  </si>
  <si>
    <t>Times</t>
  </si>
  <si>
    <t>Intervals</t>
  </si>
  <si>
    <t>Appt. Dur Min</t>
  </si>
  <si>
    <t>Selected Date</t>
  </si>
  <si>
    <t>.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</si>
  <si>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</si>
  <si>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</si>
  <si>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</si>
  <si>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</si>
  <si>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</si>
  <si>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</si>
  <si>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</si>
  <si>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</si>
  <si>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</si>
  <si>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</si>
  <si>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</si>
  <si>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</si>
  <si>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</si>
  <si>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Selected Month</t>
  </si>
  <si>
    <t>Month Sel Day</t>
  </si>
  <si>
    <t>week offset</t>
  </si>
  <si>
    <t>Cal Sync Row</t>
  </si>
  <si>
    <t>DB Col</t>
  </si>
  <si>
    <t>Start Col</t>
  </si>
  <si>
    <t>End Col</t>
  </si>
  <si>
    <t>Tasks</t>
  </si>
  <si>
    <t>Memo</t>
  </si>
  <si>
    <t>User</t>
  </si>
  <si>
    <t>Timestamp</t>
  </si>
  <si>
    <t>Task</t>
  </si>
  <si>
    <t>Toggle Visibility</t>
  </si>
  <si>
    <t>Print</t>
  </si>
  <si>
    <t>ADMIN</t>
  </si>
  <si>
    <t>Type: FormatCondition   Applies To: $F$4:$AB$38 Formula: =F4=selDate</t>
  </si>
  <si>
    <t>Type: FormatCondition   Applies To: $F$4:$AB$38 Formula: =TODAY()</t>
  </si>
  <si>
    <t>Type: FormatCondition   Applies To: $F$4:$AB$38 Formula: =AND(F4&lt;&gt;"",ISNUMBER(F4)=TRUE,COUNTA(INDIRECT("'"&amp;ScYear&amp;"'!R6C"&amp;F4-DATE(ScYear,1,1)+1&amp;":R29C"&amp;F4-DATE(ScYear,1,1)+1,FALSE))&gt;0)</t>
  </si>
  <si>
    <t>Type: FormatCondition   Applies To: $F$4:$AB$38 Formula: =AND(ISFORMULA(F4),F4="")</t>
  </si>
  <si>
    <t>Type: FormatCondition   Applies To: $AT$5:$AZ$5 Formula: =AT5=TODAY()</t>
  </si>
  <si>
    <t>Type: FormatCondition   Applies To: $AD$6:$AJ$41    Formula: =AD6=selDate</t>
  </si>
  <si>
    <t>Type: FormatCondition   Applies To: $AD$6:$AJ$41    Formula: =TODAY()</t>
  </si>
  <si>
    <t>Type: FormatCondition   Applies To: $AD$6:$AJ$41    Formula: =AND(AD6="",AD5="")</t>
  </si>
  <si>
    <t>MONTH VIEW</t>
  </si>
  <si>
    <t>YEAR VIEW</t>
  </si>
  <si>
    <t>CONDITIONAL FORMATS</t>
  </si>
  <si>
    <t>selected date</t>
  </si>
  <si>
    <t>today</t>
  </si>
  <si>
    <t>no month date</t>
  </si>
  <si>
    <t>empty</t>
  </si>
  <si>
    <t>WEEK VIEW</t>
  </si>
  <si>
    <t>TODAY</t>
  </si>
  <si>
    <t>SELECTED DATE</t>
  </si>
  <si>
    <t>NOTES</t>
  </si>
  <si>
    <t>Select your times</t>
  </si>
  <si>
    <t>day has event</t>
  </si>
  <si>
    <t>Anastasiou Alex</t>
  </si>
  <si>
    <t>BEFORE ADDING EVENTS AND TASKS</t>
  </si>
  <si>
    <t>Don't delete or reorder Staff</t>
  </si>
  <si>
    <t>Show Only</t>
  </si>
  <si>
    <t>DAY HAS EVENTS</t>
  </si>
  <si>
    <t>Send Email?</t>
  </si>
  <si>
    <t>YES</t>
  </si>
  <si>
    <t>NO</t>
  </si>
  <si>
    <t>SEND TO</t>
  </si>
  <si>
    <t>anastasioualex@gmail.com</t>
  </si>
  <si>
    <t>Zip the Files?</t>
  </si>
  <si>
    <t>ListYesNo</t>
  </si>
  <si>
    <t>Separate Ranges?</t>
  </si>
  <si>
    <t>eMail</t>
  </si>
  <si>
    <t>GitHub</t>
  </si>
  <si>
    <t>YouTube</t>
  </si>
  <si>
    <t>buy me a coffee</t>
  </si>
  <si>
    <t>VBA Code Archive</t>
  </si>
  <si>
    <t>Print Preview</t>
  </si>
  <si>
    <t>TOGGLE</t>
  </si>
  <si>
    <t>$AH$7:$AH$11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</si>
</sst>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mm"/>
    <numFmt numFmtId="165" formatCode="d"/>
    <numFmt numFmtId="166" formatCode="0.00000000"/>
    <numFmt numFmtId="167" formatCode="[$-409]h:mm\ AM/PM;@"/>
    <numFmt numFmtId="168" formatCode="[$-F800]dddd\,\ mmmm\ dd\,\ yyyy"/>
    <numFmt numFmtId="169" formatCode="h:mm;@"/>
  </numFmts>
  <fonts count="2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Calibri Light"/>
      <family val="1"/>
      <scheme val="major"/>
    </font>
    <font>
      <b/>
      <sz val="11"/>
      <color theme="8" tint="-0.499984740745262"/>
      <name val="Calibri"/>
      <family val="2"/>
      <scheme val="minor"/>
    </font>
    <font>
      <b/>
      <sz val="12"/>
      <color theme="8" tint="-0.499984740745262"/>
      <name val="Myriad Pro Black"/>
      <family val="2"/>
    </font>
    <font>
      <b/>
      <sz val="12"/>
      <color theme="8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8" tint="-0.499984740745262"/>
      <name val="Calibri Light"/>
      <family val="1"/>
      <scheme val="major"/>
    </font>
    <font>
      <sz val="10"/>
      <color theme="8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  <font>
      <b/>
      <sz val="20"/>
      <color theme="8" tint="-0.499984740745262"/>
      <name val="Calibri"/>
      <family val="2"/>
      <scheme val="minor"/>
    </font>
    <font>
      <b/>
      <sz val="26"/>
      <color theme="8" tint="-0.499984740745262"/>
      <name val="Myriad Pro Black"/>
      <family val="2"/>
    </font>
    <font>
      <b/>
      <sz val="14"/>
      <color theme="0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b/>
      <sz val="22"/>
      <color theme="8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indexed="81"/>
      <name val="Tahoma"/>
      <family val="2"/>
      <charset val="161"/>
    </font>
    <font>
      <u/>
      <sz val="14"/>
      <color theme="1"/>
      <name val="Calibri"/>
      <family val="2"/>
      <charset val="161"/>
      <scheme val="minor"/>
    </font>
    <font>
      <sz val="14"/>
      <color theme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FF0000"/>
      <name val="Calibri"/>
      <family val="2"/>
      <charset val="161"/>
      <scheme val="minor"/>
    </font>
    <font>
      <b/>
      <sz val="16"/>
      <color theme="1"/>
      <name val="Calibri"/>
      <family val="2"/>
      <charset val="161"/>
      <scheme val="minor"/>
    </font>
  </fonts>
  <fills count="19">
    <fill>
      <patternFill patternType="none"/>
    </fill>
    <fill>
      <patternFill patternType="gray125"/>
    </fill>
    <fill>
      <gradientFill degree="90">
        <stop position="0">
          <color theme="3" tint="-0.25098422193060094"/>
        </stop>
        <stop position="1">
          <color theme="4" tint="-0.25098422193060094"/>
        </stop>
      </gradientFill>
    </fill>
    <fill>
      <patternFill patternType="solid">
        <fgColor theme="4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0.3999450666829432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hair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hair">
        <color rgb="FF0070C0"/>
      </bottom>
      <diagonal/>
    </border>
    <border>
      <left style="thin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thin">
        <color rgb="FF0070C0"/>
      </right>
      <top style="hair">
        <color rgb="FF0070C0"/>
      </top>
      <bottom style="hair">
        <color rgb="FF0070C0"/>
      </bottom>
      <diagonal/>
    </border>
    <border>
      <left style="thin">
        <color rgb="FF0070C0"/>
      </left>
      <right style="hair">
        <color rgb="FF0070C0"/>
      </right>
      <top style="hair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hair">
        <color rgb="FF0070C0"/>
      </top>
      <bottom style="thin">
        <color rgb="FF0070C0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thin">
        <color theme="6" tint="-0.499984740745262"/>
      </bottom>
      <diagonal/>
    </border>
    <border>
      <left/>
      <right/>
      <top style="medium">
        <color theme="6" tint="-0.499984740745262"/>
      </top>
      <bottom style="thin">
        <color theme="6" tint="-0.499984740745262"/>
      </bottom>
      <diagonal/>
    </border>
    <border>
      <left/>
      <right style="medium">
        <color theme="6" tint="-0.499984740745262"/>
      </right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 style="medium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hair">
        <color theme="6" tint="-0.24994659260841701"/>
      </right>
      <top/>
      <bottom/>
      <diagonal/>
    </border>
    <border>
      <left style="hair">
        <color theme="6" tint="-0.24994659260841701"/>
      </left>
      <right style="hair">
        <color theme="6" tint="-0.24994659260841701"/>
      </right>
      <top/>
      <bottom/>
      <diagonal/>
    </border>
    <border>
      <left style="hair">
        <color theme="6" tint="-0.24994659260841701"/>
      </left>
      <right style="medium">
        <color theme="6" tint="-0.499984740745262"/>
      </right>
      <top/>
      <bottom/>
      <diagonal/>
    </border>
    <border>
      <left style="medium">
        <color theme="6" tint="-0.499984740745262"/>
      </left>
      <right style="hair">
        <color theme="6" tint="-0.24994659260841701"/>
      </right>
      <top/>
      <bottom style="medium">
        <color theme="6" tint="-0.499984740745262"/>
      </bottom>
      <diagonal/>
    </border>
    <border>
      <left style="hair">
        <color theme="6" tint="-0.24994659260841701"/>
      </left>
      <right style="hair">
        <color theme="6" tint="-0.24994659260841701"/>
      </right>
      <top/>
      <bottom style="medium">
        <color theme="6" tint="-0.499984740745262"/>
      </bottom>
      <diagonal/>
    </border>
    <border>
      <left style="hair">
        <color theme="6" tint="-0.24994659260841701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theme="8" tint="-0.24994659260841701"/>
      </left>
      <right style="hair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hair">
        <color theme="8" tint="-0.24994659260841701"/>
      </left>
      <right style="thin">
        <color theme="4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4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03">
    <xf numFmtId="0" fontId="0" fillId="0" borderId="0" xfId="0"/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165" fontId="4" fillId="0" borderId="7" xfId="0" applyNumberFormat="1" applyFont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165" fontId="4" fillId="0" borderId="9" xfId="0" applyNumberFormat="1" applyFont="1" applyBorder="1" applyAlignment="1">
      <alignment horizontal="center" vertical="center"/>
    </xf>
    <xf numFmtId="165" fontId="4" fillId="0" borderId="10" xfId="0" applyNumberFormat="1" applyFont="1" applyBorder="1" applyAlignment="1">
      <alignment horizontal="center" vertical="center"/>
    </xf>
    <xf numFmtId="165" fontId="4" fillId="0" borderId="11" xfId="0" applyNumberFormat="1" applyFont="1" applyBorder="1" applyAlignment="1">
      <alignment horizontal="center" vertical="center"/>
    </xf>
    <xf numFmtId="165" fontId="4" fillId="0" borderId="12" xfId="0" applyNumberFormat="1" applyFont="1" applyBorder="1" applyAlignment="1">
      <alignment horizontal="center" vertical="center"/>
    </xf>
    <xf numFmtId="165" fontId="4" fillId="0" borderId="13" xfId="0" applyNumberFormat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center" vertical="center"/>
    </xf>
    <xf numFmtId="165" fontId="4" fillId="0" borderId="15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4" borderId="0" xfId="0" applyFill="1"/>
    <xf numFmtId="0" fontId="2" fillId="6" borderId="19" xfId="0" applyFont="1" applyFill="1" applyBorder="1" applyAlignment="1">
      <alignment horizontal="center"/>
    </xf>
    <xf numFmtId="0" fontId="2" fillId="6" borderId="20" xfId="0" applyFont="1" applyFill="1" applyBorder="1" applyAlignment="1">
      <alignment horizontal="center"/>
    </xf>
    <xf numFmtId="0" fontId="2" fillId="6" borderId="21" xfId="0" applyFont="1" applyFill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0" fillId="0" borderId="23" xfId="0" applyNumberForma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" fillId="7" borderId="28" xfId="0" applyFont="1" applyFill="1" applyBorder="1" applyAlignment="1">
      <alignment horizontal="right" vertical="center"/>
    </xf>
    <xf numFmtId="167" fontId="8" fillId="9" borderId="29" xfId="0" applyNumberFormat="1" applyFont="1" applyFill="1" applyBorder="1" applyAlignment="1">
      <alignment horizontal="center"/>
    </xf>
    <xf numFmtId="167" fontId="0" fillId="10" borderId="29" xfId="0" applyNumberFormat="1" applyFill="1" applyBorder="1"/>
    <xf numFmtId="0" fontId="0" fillId="0" borderId="29" xfId="0" applyBorder="1"/>
    <xf numFmtId="0" fontId="0" fillId="0" borderId="29" xfId="0" applyBorder="1" applyAlignment="1">
      <alignment wrapText="1"/>
    </xf>
    <xf numFmtId="0" fontId="0" fillId="10" borderId="31" xfId="0" applyFill="1" applyBorder="1" applyAlignment="1">
      <alignment horizontal="right"/>
    </xf>
    <xf numFmtId="167" fontId="0" fillId="0" borderId="31" xfId="0" applyNumberFormat="1" applyBorder="1" applyAlignment="1">
      <alignment horizontal="left"/>
    </xf>
    <xf numFmtId="169" fontId="0" fillId="0" borderId="31" xfId="0" applyNumberFormat="1" applyBorder="1" applyAlignment="1">
      <alignment horizontal="left"/>
    </xf>
    <xf numFmtId="0" fontId="0" fillId="0" borderId="31" xfId="0" applyBorder="1" applyAlignment="1">
      <alignment horizontal="left"/>
    </xf>
    <xf numFmtId="0" fontId="0" fillId="11" borderId="32" xfId="0" applyFill="1" applyBorder="1" applyAlignment="1">
      <alignment horizontal="center"/>
    </xf>
    <xf numFmtId="167" fontId="0" fillId="12" borderId="32" xfId="0" applyNumberFormat="1" applyFill="1" applyBorder="1" applyAlignment="1">
      <alignment horizontal="center"/>
    </xf>
    <xf numFmtId="0" fontId="0" fillId="10" borderId="0" xfId="0" applyFill="1" applyBorder="1" applyAlignment="1">
      <alignment horizontal="right"/>
    </xf>
    <xf numFmtId="168" fontId="8" fillId="9" borderId="29" xfId="0" applyNumberFormat="1" applyFont="1" applyFill="1" applyBorder="1" applyAlignment="1">
      <alignment horizontal="center"/>
    </xf>
    <xf numFmtId="165" fontId="0" fillId="10" borderId="29" xfId="0" applyNumberFormat="1" applyFill="1" applyBorder="1"/>
    <xf numFmtId="0" fontId="0" fillId="11" borderId="32" xfId="0" applyFill="1" applyBorder="1"/>
    <xf numFmtId="0" fontId="0" fillId="12" borderId="32" xfId="0" applyFill="1" applyBorder="1"/>
    <xf numFmtId="0" fontId="0" fillId="11" borderId="32" xfId="0" applyFill="1" applyBorder="1" applyAlignment="1">
      <alignment horizontal="left"/>
    </xf>
    <xf numFmtId="169" fontId="0" fillId="12" borderId="32" xfId="0" applyNumberFormat="1" applyFill="1" applyBorder="1" applyAlignment="1">
      <alignment horizontal="left"/>
    </xf>
    <xf numFmtId="0" fontId="0" fillId="12" borderId="32" xfId="0" applyFill="1" applyBorder="1" applyAlignment="1">
      <alignment horizontal="left"/>
    </xf>
    <xf numFmtId="1" fontId="0" fillId="4" borderId="0" xfId="0" applyNumberFormat="1" applyFill="1" applyAlignment="1">
      <alignment horizontal="center"/>
    </xf>
    <xf numFmtId="1" fontId="0" fillId="0" borderId="0" xfId="0" applyNumberFormat="1"/>
    <xf numFmtId="0" fontId="7" fillId="8" borderId="38" xfId="0" applyFont="1" applyFill="1" applyBorder="1" applyAlignment="1">
      <alignment vertical="center"/>
    </xf>
    <xf numFmtId="168" fontId="8" fillId="9" borderId="39" xfId="0" applyNumberFormat="1" applyFont="1" applyFill="1" applyBorder="1" applyAlignment="1">
      <alignment horizontal="center"/>
    </xf>
    <xf numFmtId="14" fontId="8" fillId="9" borderId="30" xfId="0" applyNumberFormat="1" applyFont="1" applyFill="1" applyBorder="1" applyAlignment="1">
      <alignment horizontal="center"/>
    </xf>
    <xf numFmtId="14" fontId="14" fillId="9" borderId="30" xfId="0" applyNumberFormat="1" applyFont="1" applyFill="1" applyBorder="1" applyAlignment="1">
      <alignment horizontal="center"/>
    </xf>
    <xf numFmtId="14" fontId="14" fillId="0" borderId="30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167" fontId="13" fillId="14" borderId="40" xfId="0" applyNumberFormat="1" applyFont="1" applyFill="1" applyBorder="1" applyAlignment="1">
      <alignment horizontal="left"/>
    </xf>
    <xf numFmtId="0" fontId="15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6" fillId="15" borderId="41" xfId="0" applyFont="1" applyFill="1" applyBorder="1" applyAlignment="1">
      <alignment horizontal="center"/>
    </xf>
    <xf numFmtId="0" fontId="16" fillId="15" borderId="42" xfId="0" applyFont="1" applyFill="1" applyBorder="1" applyAlignment="1">
      <alignment horizontal="center" vertical="center"/>
    </xf>
    <xf numFmtId="0" fontId="16" fillId="15" borderId="43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Border="1"/>
    <xf numFmtId="168" fontId="18" fillId="9" borderId="29" xfId="0" applyNumberFormat="1" applyFont="1" applyFill="1" applyBorder="1" applyAlignment="1">
      <alignment horizontal="center"/>
    </xf>
    <xf numFmtId="0" fontId="19" fillId="0" borderId="0" xfId="0" applyFont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20" fillId="0" borderId="0" xfId="1"/>
    <xf numFmtId="0" fontId="0" fillId="10" borderId="0" xfId="0" applyFill="1" applyBorder="1" applyAlignment="1">
      <alignment horizontal="left"/>
    </xf>
    <xf numFmtId="0" fontId="0" fillId="0" borderId="31" xfId="0" applyFill="1" applyBorder="1"/>
    <xf numFmtId="0" fontId="0" fillId="0" borderId="0" xfId="0" applyFill="1" applyAlignment="1">
      <alignment horizontal="left"/>
    </xf>
    <xf numFmtId="0" fontId="0" fillId="0" borderId="31" xfId="0" applyFill="1" applyBorder="1" applyAlignment="1">
      <alignment horizontal="left"/>
    </xf>
    <xf numFmtId="14" fontId="0" fillId="0" borderId="31" xfId="0" applyNumberFormat="1" applyFill="1" applyBorder="1" applyAlignment="1">
      <alignment horizontal="left"/>
    </xf>
    <xf numFmtId="0" fontId="22" fillId="0" borderId="0" xfId="0" applyFont="1" applyAlignment="1">
      <alignment horizontal="center"/>
    </xf>
    <xf numFmtId="0" fontId="23" fillId="0" borderId="0" xfId="1" applyFont="1" applyFill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168" fontId="14" fillId="9" borderId="29" xfId="0" applyNumberFormat="1" applyFont="1" applyFill="1" applyBorder="1" applyAlignment="1">
      <alignment horizontal="center" vertical="center"/>
    </xf>
    <xf numFmtId="168" fontId="14" fillId="9" borderId="35" xfId="0" applyNumberFormat="1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/>
    </xf>
    <xf numFmtId="167" fontId="0" fillId="10" borderId="29" xfId="0" applyNumberFormat="1" applyFill="1" applyBorder="1" applyAlignment="1">
      <alignment horizontal="center" vertical="center"/>
    </xf>
    <xf numFmtId="168" fontId="11" fillId="0" borderId="0" xfId="0" applyNumberFormat="1" applyFont="1" applyFill="1" applyAlignment="1">
      <alignment horizontal="center" vertical="center"/>
    </xf>
    <xf numFmtId="0" fontId="5" fillId="5" borderId="16" xfId="0" applyFont="1" applyFill="1" applyBorder="1" applyAlignment="1">
      <alignment horizontal="left" vertical="center" indent="34"/>
    </xf>
    <xf numFmtId="0" fontId="5" fillId="5" borderId="17" xfId="0" applyFont="1" applyFill="1" applyBorder="1" applyAlignment="1">
      <alignment horizontal="left" vertical="center" indent="34"/>
    </xf>
    <xf numFmtId="0" fontId="5" fillId="5" borderId="18" xfId="0" applyFont="1" applyFill="1" applyBorder="1" applyAlignment="1">
      <alignment horizontal="left" vertical="center" indent="34"/>
    </xf>
    <xf numFmtId="0" fontId="0" fillId="0" borderId="35" xfId="0" applyBorder="1" applyAlignment="1">
      <alignment horizontal="left" vertical="top" wrapText="1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2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left" vertical="top"/>
    </xf>
    <xf numFmtId="14" fontId="0" fillId="0" borderId="35" xfId="0" applyNumberFormat="1" applyBorder="1" applyAlignment="1">
      <alignment horizontal="left" vertical="top" wrapText="1"/>
    </xf>
    <xf numFmtId="0" fontId="10" fillId="13" borderId="30" xfId="0" applyFont="1" applyFill="1" applyBorder="1" applyAlignment="1">
      <alignment horizontal="center"/>
    </xf>
    <xf numFmtId="0" fontId="10" fillId="13" borderId="33" xfId="0" applyFont="1" applyFill="1" applyBorder="1" applyAlignment="1">
      <alignment horizontal="center"/>
    </xf>
    <xf numFmtId="0" fontId="10" fillId="13" borderId="34" xfId="0" applyFont="1" applyFill="1" applyBorder="1" applyAlignment="1">
      <alignment horizontal="center"/>
    </xf>
    <xf numFmtId="0" fontId="0" fillId="0" borderId="35" xfId="0" applyBorder="1" applyAlignment="1">
      <alignment horizontal="center" vertical="top"/>
    </xf>
    <xf numFmtId="0" fontId="0" fillId="0" borderId="36" xfId="0" applyBorder="1" applyAlignment="1">
      <alignment horizontal="center" vertical="top"/>
    </xf>
    <xf numFmtId="0" fontId="0" fillId="0" borderId="37" xfId="0" applyBorder="1" applyAlignment="1">
      <alignment horizontal="center" vertical="top"/>
    </xf>
    <xf numFmtId="0" fontId="0" fillId="0" borderId="35" xfId="0" applyBorder="1" applyAlignment="1">
      <alignment horizontal="center" vertical="top" wrapText="1"/>
    </xf>
    <xf numFmtId="0" fontId="0" fillId="0" borderId="36" xfId="0" applyBorder="1" applyAlignment="1">
      <alignment horizontal="center" vertical="top" wrapText="1"/>
    </xf>
    <xf numFmtId="0" fontId="0" fillId="0" borderId="37" xfId="0" applyBorder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8"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1B4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766451</xdr:colOff>
      <xdr:row>1</xdr:row>
      <xdr:rowOff>11355</xdr:rowOff>
    </xdr:from>
    <xdr:ext cx="2108009" cy="2205990"/>
    <xdr:pic>
      <xdr:nvPicPr>
        <xdr:cNvPr id="2" name="Picture 1">
          <a:extLst>
            <a:ext uri="{FF2B5EF4-FFF2-40B4-BE49-F238E27FC236}">
              <a16:creationId xmlns:a16="http://schemas.microsoft.com/office/drawing/2014/main" id="{33812292-A822-432D-9D5F-1B246CE32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451" y="192424"/>
          <a:ext cx="2108009" cy="22059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oneCellAnchor>
  <xdr:twoCellAnchor>
    <xdr:from>
      <xdr:col>3</xdr:col>
      <xdr:colOff>59363</xdr:colOff>
      <xdr:row>1</xdr:row>
      <xdr:rowOff>129315</xdr:rowOff>
    </xdr:from>
    <xdr:to>
      <xdr:col>5</xdr:col>
      <xdr:colOff>634648</xdr:colOff>
      <xdr:row>9</xdr:row>
      <xdr:rowOff>45495</xdr:rowOff>
    </xdr:to>
    <xdr:sp macro="" textlink="">
      <xdr:nvSpPr>
        <xdr:cNvPr id="3" name="Speech Bubble: Oval 2">
          <a:extLst>
            <a:ext uri="{FF2B5EF4-FFF2-40B4-BE49-F238E27FC236}">
              <a16:creationId xmlns:a16="http://schemas.microsoft.com/office/drawing/2014/main" id="{8C513730-F9A8-4A00-A97C-EC0A1722DEB8}"/>
            </a:ext>
          </a:extLst>
        </xdr:cNvPr>
        <xdr:cNvSpPr/>
      </xdr:nvSpPr>
      <xdr:spPr>
        <a:xfrm>
          <a:off x="3424234" y="310384"/>
          <a:ext cx="1797503" cy="1591071"/>
        </a:xfrm>
        <a:prstGeom prst="wedgeEllipseCallout">
          <a:avLst>
            <a:gd name="adj1" fmla="val -86311"/>
            <a:gd name="adj2" fmla="val -2082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1343024</xdr:colOff>
      <xdr:row>0</xdr:row>
      <xdr:rowOff>47625</xdr:rowOff>
    </xdr:from>
    <xdr:to>
      <xdr:col>4</xdr:col>
      <xdr:colOff>3448049</xdr:colOff>
      <xdr:row>0</xdr:row>
      <xdr:rowOff>321945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D2D863-8D95-401A-86CC-402A6CBBD630}"/>
            </a:ext>
          </a:extLst>
        </xdr:cNvPr>
        <xdr:cNvGrpSpPr/>
      </xdr:nvGrpSpPr>
      <xdr:grpSpPr>
        <a:xfrm>
          <a:off x="4634864" y="47625"/>
          <a:ext cx="2105025" cy="274320"/>
          <a:chOff x="4229099" y="38100"/>
          <a:chExt cx="2105025" cy="274320"/>
        </a:xfrm>
      </xdr:grpSpPr>
      <xdr:sp macro="[0]!OutSyncAddCal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59E52A3B-B6CB-478C-945D-4EACE9EFDB8F}"/>
              </a:ext>
            </a:extLst>
          </xdr:cNvPr>
          <xdr:cNvSpPr/>
        </xdr:nvSpPr>
        <xdr:spPr>
          <a:xfrm>
            <a:off x="4229099" y="38100"/>
            <a:ext cx="2105025" cy="274320"/>
          </a:xfrm>
          <a:prstGeom prst="round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200" b="1"/>
              <a:t>Assign Outlook</a:t>
            </a:r>
            <a:r>
              <a:rPr lang="en-US" sz="1200" b="1" baseline="0"/>
              <a:t> Calendar</a:t>
            </a:r>
            <a:endParaRPr lang="en-US" sz="1200" b="1"/>
          </a:p>
        </xdr:txBody>
      </xdr:sp>
      <xdr:pic macro="[0]!OutSyncAddCal">
        <xdr:nvPicPr>
          <xdr:cNvPr id="4" name="Picture 3">
            <a:extLst>
              <a:ext uri="{FF2B5EF4-FFF2-40B4-BE49-F238E27FC236}">
                <a16:creationId xmlns:a16="http://schemas.microsoft.com/office/drawing/2014/main" id="{CD3CD405-E923-47DB-A622-AEC6B1F161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95775" y="47624"/>
            <a:ext cx="309218" cy="256032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55504</xdr:colOff>
      <xdr:row>2</xdr:row>
      <xdr:rowOff>21772</xdr:rowOff>
    </xdr:from>
    <xdr:to>
      <xdr:col>35</xdr:col>
      <xdr:colOff>1175657</xdr:colOff>
      <xdr:row>2</xdr:row>
      <xdr:rowOff>359229</xdr:rowOff>
    </xdr:to>
    <xdr:grpSp>
      <xdr:nvGrpSpPr>
        <xdr:cNvPr id="4" name="MonthBtns">
          <a:extLst>
            <a:ext uri="{FF2B5EF4-FFF2-40B4-BE49-F238E27FC236}">
              <a16:creationId xmlns:a16="http://schemas.microsoft.com/office/drawing/2014/main" id="{23869A1A-C694-4C3C-9E86-B70033B4B1AB}"/>
            </a:ext>
          </a:extLst>
        </xdr:cNvPr>
        <xdr:cNvGrpSpPr/>
      </xdr:nvGrpSpPr>
      <xdr:grpSpPr>
        <a:xfrm>
          <a:off x="11805544" y="433252"/>
          <a:ext cx="10264153" cy="337457"/>
          <a:chOff x="2042016" y="583484"/>
          <a:chExt cx="9647128" cy="164592"/>
        </a:xfrm>
      </xdr:grpSpPr>
      <xdr:sp macro="[0]!MonthSel" textlink="">
        <xdr:nvSpPr>
          <xdr:cNvPr id="5" name="JanBtn">
            <a:extLst>
              <a:ext uri="{FF2B5EF4-FFF2-40B4-BE49-F238E27FC236}">
                <a16:creationId xmlns:a16="http://schemas.microsoft.com/office/drawing/2014/main" id="{47CEFAEA-5D5F-4499-8C91-CA4AD91E73B9}"/>
              </a:ext>
            </a:extLst>
          </xdr:cNvPr>
          <xdr:cNvSpPr/>
        </xdr:nvSpPr>
        <xdr:spPr>
          <a:xfrm>
            <a:off x="2042016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1</a:t>
            </a:r>
          </a:p>
        </xdr:txBody>
      </xdr:sp>
      <xdr:sp macro="[0]!MonthSel" textlink="">
        <xdr:nvSpPr>
          <xdr:cNvPr id="6" name="FebBtn">
            <a:extLst>
              <a:ext uri="{FF2B5EF4-FFF2-40B4-BE49-F238E27FC236}">
                <a16:creationId xmlns:a16="http://schemas.microsoft.com/office/drawing/2014/main" id="{FC7FD629-3F0F-45AB-8E02-56EBC20F6029}"/>
              </a:ext>
            </a:extLst>
          </xdr:cNvPr>
          <xdr:cNvSpPr/>
        </xdr:nvSpPr>
        <xdr:spPr>
          <a:xfrm>
            <a:off x="2849970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2</a:t>
            </a:r>
          </a:p>
        </xdr:txBody>
      </xdr:sp>
      <xdr:sp macro="[0]!MonthSel" textlink="">
        <xdr:nvSpPr>
          <xdr:cNvPr id="7" name="MarBtn">
            <a:extLst>
              <a:ext uri="{FF2B5EF4-FFF2-40B4-BE49-F238E27FC236}">
                <a16:creationId xmlns:a16="http://schemas.microsoft.com/office/drawing/2014/main" id="{042B2DC1-A2BF-4959-9114-956D0C197F9C}"/>
              </a:ext>
            </a:extLst>
          </xdr:cNvPr>
          <xdr:cNvSpPr/>
        </xdr:nvSpPr>
        <xdr:spPr>
          <a:xfrm>
            <a:off x="3655727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3</a:t>
            </a:r>
          </a:p>
        </xdr:txBody>
      </xdr:sp>
      <xdr:sp macro="[0]!MonthSel" textlink="">
        <xdr:nvSpPr>
          <xdr:cNvPr id="8" name="AprBtn">
            <a:extLst>
              <a:ext uri="{FF2B5EF4-FFF2-40B4-BE49-F238E27FC236}">
                <a16:creationId xmlns:a16="http://schemas.microsoft.com/office/drawing/2014/main" id="{3FB085F2-6FE3-4C7B-AD47-F880DD6E9AD4}"/>
              </a:ext>
            </a:extLst>
          </xdr:cNvPr>
          <xdr:cNvSpPr/>
        </xdr:nvSpPr>
        <xdr:spPr>
          <a:xfrm>
            <a:off x="4455622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4</a:t>
            </a:r>
          </a:p>
        </xdr:txBody>
      </xdr:sp>
      <xdr:sp macro="[0]!MonthSel" textlink="">
        <xdr:nvSpPr>
          <xdr:cNvPr id="9" name="MayBtn">
            <a:extLst>
              <a:ext uri="{FF2B5EF4-FFF2-40B4-BE49-F238E27FC236}">
                <a16:creationId xmlns:a16="http://schemas.microsoft.com/office/drawing/2014/main" id="{B4B7FB77-9A89-41A4-8558-325D46B0ED58}"/>
              </a:ext>
            </a:extLst>
          </xdr:cNvPr>
          <xdr:cNvSpPr/>
        </xdr:nvSpPr>
        <xdr:spPr>
          <a:xfrm>
            <a:off x="5261378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5</a:t>
            </a:r>
          </a:p>
        </xdr:txBody>
      </xdr:sp>
      <xdr:sp macro="[0]!MonthSel" textlink="">
        <xdr:nvSpPr>
          <xdr:cNvPr id="10" name="JunBtn">
            <a:extLst>
              <a:ext uri="{FF2B5EF4-FFF2-40B4-BE49-F238E27FC236}">
                <a16:creationId xmlns:a16="http://schemas.microsoft.com/office/drawing/2014/main" id="{836F7454-471D-42EC-8457-69014331C30C}"/>
              </a:ext>
            </a:extLst>
          </xdr:cNvPr>
          <xdr:cNvSpPr/>
        </xdr:nvSpPr>
        <xdr:spPr>
          <a:xfrm>
            <a:off x="6070798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6</a:t>
            </a:r>
          </a:p>
        </xdr:txBody>
      </xdr:sp>
      <xdr:sp macro="[0]!MonthSel" textlink="">
        <xdr:nvSpPr>
          <xdr:cNvPr id="11" name="JulBtn">
            <a:extLst>
              <a:ext uri="{FF2B5EF4-FFF2-40B4-BE49-F238E27FC236}">
                <a16:creationId xmlns:a16="http://schemas.microsoft.com/office/drawing/2014/main" id="{96F6EA3E-7EC9-4818-AD51-0560C1FAA36A}"/>
              </a:ext>
            </a:extLst>
          </xdr:cNvPr>
          <xdr:cNvSpPr/>
        </xdr:nvSpPr>
        <xdr:spPr>
          <a:xfrm>
            <a:off x="6876555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7</a:t>
            </a:r>
          </a:p>
        </xdr:txBody>
      </xdr:sp>
      <xdr:sp macro="[0]!MonthSel" textlink="">
        <xdr:nvSpPr>
          <xdr:cNvPr id="12" name="AugBtn">
            <a:extLst>
              <a:ext uri="{FF2B5EF4-FFF2-40B4-BE49-F238E27FC236}">
                <a16:creationId xmlns:a16="http://schemas.microsoft.com/office/drawing/2014/main" id="{DA940422-4963-4A0E-BE2B-335CD8775D88}"/>
              </a:ext>
            </a:extLst>
          </xdr:cNvPr>
          <xdr:cNvSpPr/>
        </xdr:nvSpPr>
        <xdr:spPr>
          <a:xfrm>
            <a:off x="7672786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8</a:t>
            </a:r>
          </a:p>
        </xdr:txBody>
      </xdr:sp>
      <xdr:sp macro="[0]!MonthSel" textlink="">
        <xdr:nvSpPr>
          <xdr:cNvPr id="13" name="SepBtn">
            <a:extLst>
              <a:ext uri="{FF2B5EF4-FFF2-40B4-BE49-F238E27FC236}">
                <a16:creationId xmlns:a16="http://schemas.microsoft.com/office/drawing/2014/main" id="{0B146F83-4684-405A-95CA-A9ABDF608795}"/>
              </a:ext>
            </a:extLst>
          </xdr:cNvPr>
          <xdr:cNvSpPr/>
        </xdr:nvSpPr>
        <xdr:spPr>
          <a:xfrm>
            <a:off x="8472681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9</a:t>
            </a:r>
          </a:p>
        </xdr:txBody>
      </xdr:sp>
      <xdr:sp macro="[0]!MonthSel" textlink="">
        <xdr:nvSpPr>
          <xdr:cNvPr id="14" name="OctBtn">
            <a:extLst>
              <a:ext uri="{FF2B5EF4-FFF2-40B4-BE49-F238E27FC236}">
                <a16:creationId xmlns:a16="http://schemas.microsoft.com/office/drawing/2014/main" id="{D82C3A41-45FC-42F2-9248-A0476BD59D9F}"/>
              </a:ext>
            </a:extLst>
          </xdr:cNvPr>
          <xdr:cNvSpPr/>
        </xdr:nvSpPr>
        <xdr:spPr>
          <a:xfrm>
            <a:off x="9278438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10</a:t>
            </a:r>
          </a:p>
        </xdr:txBody>
      </xdr:sp>
      <xdr:sp macro="[0]!MonthSel" textlink="">
        <xdr:nvSpPr>
          <xdr:cNvPr id="15" name="NovBtn">
            <a:extLst>
              <a:ext uri="{FF2B5EF4-FFF2-40B4-BE49-F238E27FC236}">
                <a16:creationId xmlns:a16="http://schemas.microsoft.com/office/drawing/2014/main" id="{EEA268EC-C9D8-4AD5-9CAD-4B2081EBE3D3}"/>
              </a:ext>
            </a:extLst>
          </xdr:cNvPr>
          <xdr:cNvSpPr/>
        </xdr:nvSpPr>
        <xdr:spPr>
          <a:xfrm>
            <a:off x="10087858" y="583484"/>
            <a:ext cx="795528" cy="164592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11</a:t>
            </a:r>
          </a:p>
        </xdr:txBody>
      </xdr:sp>
      <xdr:sp macro="[0]!MonthSel" textlink="">
        <xdr:nvSpPr>
          <xdr:cNvPr id="16" name="DecBtn">
            <a:extLst>
              <a:ext uri="{FF2B5EF4-FFF2-40B4-BE49-F238E27FC236}">
                <a16:creationId xmlns:a16="http://schemas.microsoft.com/office/drawing/2014/main" id="{6ACF9633-B628-4A3D-9997-72457E77F0FD}"/>
              </a:ext>
            </a:extLst>
          </xdr:cNvPr>
          <xdr:cNvSpPr/>
        </xdr:nvSpPr>
        <xdr:spPr>
          <a:xfrm>
            <a:off x="10893616" y="583484"/>
            <a:ext cx="795528" cy="164592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200" b="0">
                <a:latin typeface="+mj-lt"/>
              </a:rPr>
              <a:t>12</a:t>
            </a:r>
          </a:p>
        </xdr:txBody>
      </xdr:sp>
    </xdr:grpSp>
    <xdr:clientData fPrintsWithSheet="0"/>
  </xdr:twoCellAnchor>
  <xdr:twoCellAnchor>
    <xdr:from>
      <xdr:col>45</xdr:col>
      <xdr:colOff>1600493</xdr:colOff>
      <xdr:row>1</xdr:row>
      <xdr:rowOff>3429</xdr:rowOff>
    </xdr:from>
    <xdr:to>
      <xdr:col>45</xdr:col>
      <xdr:colOff>2133893</xdr:colOff>
      <xdr:row>2</xdr:row>
      <xdr:rowOff>345358</xdr:rowOff>
    </xdr:to>
    <xdr:pic macro="[0]!weekIncrement">
      <xdr:nvPicPr>
        <xdr:cNvPr id="3" name="nextWeek" descr="Add">
          <a:extLst>
            <a:ext uri="{FF2B5EF4-FFF2-40B4-BE49-F238E27FC236}">
              <a16:creationId xmlns:a16="http://schemas.microsoft.com/office/drawing/2014/main" id="{4E6E48F4-97F4-4421-AE00-406A07054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955426" y="189696"/>
          <a:ext cx="533400" cy="578995"/>
        </a:xfrm>
        <a:prstGeom prst="rect">
          <a:avLst/>
        </a:prstGeom>
      </xdr:spPr>
    </xdr:pic>
    <xdr:clientData fPrintsWithSheet="0"/>
  </xdr:twoCellAnchor>
  <xdr:twoCellAnchor>
    <xdr:from>
      <xdr:col>44</xdr:col>
      <xdr:colOff>982073</xdr:colOff>
      <xdr:row>1</xdr:row>
      <xdr:rowOff>20411</xdr:rowOff>
    </xdr:from>
    <xdr:to>
      <xdr:col>45</xdr:col>
      <xdr:colOff>804735</xdr:colOff>
      <xdr:row>2</xdr:row>
      <xdr:rowOff>337348</xdr:rowOff>
    </xdr:to>
    <xdr:sp macro="[0]!weekIncrement" textlink="">
      <xdr:nvSpPr>
        <xdr:cNvPr id="17" name="previousWeek">
          <a:extLst>
            <a:ext uri="{FF2B5EF4-FFF2-40B4-BE49-F238E27FC236}">
              <a16:creationId xmlns:a16="http://schemas.microsoft.com/office/drawing/2014/main" id="{C92E9B0C-022A-4619-8DEA-2AE8AB31CC09}"/>
            </a:ext>
          </a:extLst>
        </xdr:cNvPr>
        <xdr:cNvSpPr/>
      </xdr:nvSpPr>
      <xdr:spPr>
        <a:xfrm>
          <a:off x="37354873" y="206678"/>
          <a:ext cx="804795" cy="554003"/>
        </a:xfrm>
        <a:prstGeom prst="mathMinu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40</xdr:col>
      <xdr:colOff>263595</xdr:colOff>
      <xdr:row>0</xdr:row>
      <xdr:rowOff>163068</xdr:rowOff>
    </xdr:from>
    <xdr:to>
      <xdr:col>40</xdr:col>
      <xdr:colOff>883920</xdr:colOff>
      <xdr:row>3</xdr:row>
      <xdr:rowOff>48380</xdr:rowOff>
    </xdr:to>
    <xdr:pic macro="[0]!CompleteTasks">
      <xdr:nvPicPr>
        <xdr:cNvPr id="19" name="Graphic 18" descr="Checkmark">
          <a:extLst>
            <a:ext uri="{FF2B5EF4-FFF2-40B4-BE49-F238E27FC236}">
              <a16:creationId xmlns:a16="http://schemas.microsoft.com/office/drawing/2014/main" id="{82A5545C-3FD0-484D-9987-6F74B0993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549035" y="163068"/>
          <a:ext cx="620325" cy="662552"/>
        </a:xfrm>
        <a:prstGeom prst="rect">
          <a:avLst/>
        </a:prstGeom>
      </xdr:spPr>
    </xdr:pic>
    <xdr:clientData fPrintsWithSheet="0"/>
  </xdr:twoCellAnchor>
  <xdr:twoCellAnchor>
    <xdr:from>
      <xdr:col>53</xdr:col>
      <xdr:colOff>148724</xdr:colOff>
      <xdr:row>0</xdr:row>
      <xdr:rowOff>59155</xdr:rowOff>
    </xdr:from>
    <xdr:to>
      <xdr:col>53</xdr:col>
      <xdr:colOff>682124</xdr:colOff>
      <xdr:row>2</xdr:row>
      <xdr:rowOff>218366</xdr:rowOff>
    </xdr:to>
    <xdr:pic macro="[0]!addUserDayForAll">
      <xdr:nvPicPr>
        <xdr:cNvPr id="21" name="addUserView" descr="Add">
          <a:extLst>
            <a:ext uri="{FF2B5EF4-FFF2-40B4-BE49-F238E27FC236}">
              <a16:creationId xmlns:a16="http://schemas.microsoft.com/office/drawing/2014/main" id="{5276F3F9-0CB1-4A28-8574-7294A619F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323040" y="59155"/>
          <a:ext cx="533400" cy="573632"/>
        </a:xfrm>
        <a:prstGeom prst="rect">
          <a:avLst/>
        </a:prstGeom>
      </xdr:spPr>
    </xdr:pic>
    <xdr:clientData fPrintsWithSheet="0"/>
  </xdr:twoCellAnchor>
  <xdr:twoCellAnchor>
    <xdr:from>
      <xdr:col>45</xdr:col>
      <xdr:colOff>865908</xdr:colOff>
      <xdr:row>0</xdr:row>
      <xdr:rowOff>123081</xdr:rowOff>
    </xdr:from>
    <xdr:to>
      <xdr:col>45</xdr:col>
      <xdr:colOff>1417320</xdr:colOff>
      <xdr:row>2</xdr:row>
      <xdr:rowOff>278476</xdr:rowOff>
    </xdr:to>
    <xdr:pic macro="[0]!weekIncrement">
      <xdr:nvPicPr>
        <xdr:cNvPr id="42" name="ResetWeekOffset" descr="Flip calendar">
          <a:extLst>
            <a:ext uri="{FF2B5EF4-FFF2-40B4-BE49-F238E27FC236}">
              <a16:creationId xmlns:a16="http://schemas.microsoft.com/office/drawing/2014/main" id="{CF12B258-9D65-4202-B484-E12516A5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780748" y="123081"/>
          <a:ext cx="551412" cy="566875"/>
        </a:xfrm>
        <a:prstGeom prst="rect">
          <a:avLst/>
        </a:prstGeom>
      </xdr:spPr>
    </xdr:pic>
    <xdr:clientData/>
  </xdr:twoCellAnchor>
  <xdr:twoCellAnchor>
    <xdr:from>
      <xdr:col>3</xdr:col>
      <xdr:colOff>220215</xdr:colOff>
      <xdr:row>26</xdr:row>
      <xdr:rowOff>72109</xdr:rowOff>
    </xdr:from>
    <xdr:to>
      <xdr:col>3</xdr:col>
      <xdr:colOff>1812977</xdr:colOff>
      <xdr:row>39</xdr:row>
      <xdr:rowOff>87349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39BBAA8A-86BA-4445-B8E3-070DDD1DD9AD}"/>
            </a:ext>
          </a:extLst>
        </xdr:cNvPr>
        <xdr:cNvGrpSpPr/>
      </xdr:nvGrpSpPr>
      <xdr:grpSpPr>
        <a:xfrm>
          <a:off x="2140455" y="6884389"/>
          <a:ext cx="1592762" cy="3383280"/>
          <a:chOff x="2118264" y="3177060"/>
          <a:chExt cx="1592762" cy="2984295"/>
        </a:xfrm>
      </xdr:grpSpPr>
      <xdr:sp macro="[0]!ToggleShapePrint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C9DB9B33-AB60-45E3-A01C-9A08524F11F5}"/>
              </a:ext>
            </a:extLst>
          </xdr:cNvPr>
          <xdr:cNvSpPr/>
        </xdr:nvSpPr>
        <xdr:spPr>
          <a:xfrm>
            <a:off x="2123228" y="3177060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YearCalendar</a:t>
            </a:r>
          </a:p>
        </xdr:txBody>
      </xdr:sp>
      <xdr:sp macro="[0]!ToggleShapePrint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309F067C-EF5A-43F3-8767-43FBD877AF2B}"/>
              </a:ext>
            </a:extLst>
          </xdr:cNvPr>
          <xdr:cNvSpPr/>
        </xdr:nvSpPr>
        <xdr:spPr>
          <a:xfrm>
            <a:off x="2118264" y="3621697"/>
            <a:ext cx="1567544" cy="317230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MonthCalendar</a:t>
            </a:r>
          </a:p>
        </xdr:txBody>
      </xdr:sp>
      <xdr:sp macro="[0]!ToggleShapePrint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238C468F-92EB-4F98-A946-83C57F4D03F2}"/>
              </a:ext>
            </a:extLst>
          </xdr:cNvPr>
          <xdr:cNvSpPr/>
        </xdr:nvSpPr>
        <xdr:spPr>
          <a:xfrm>
            <a:off x="2123228" y="4480528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DayCalendar</a:t>
            </a:r>
          </a:p>
        </xdr:txBody>
      </xdr:sp>
      <xdr:sp macro="[0]!ToggleShapePrint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C903B0DE-7830-4F6E-A9CE-9D7BCD1A5102}"/>
              </a:ext>
            </a:extLst>
          </xdr:cNvPr>
          <xdr:cNvSpPr/>
        </xdr:nvSpPr>
        <xdr:spPr>
          <a:xfrm>
            <a:off x="2123228" y="4035889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WeekCalendar</a:t>
            </a:r>
          </a:p>
        </xdr:txBody>
      </xdr:sp>
      <xdr:sp macro="[0]!ToggleShapePrint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8C9C14D7-204A-47EA-AFA6-7E0953160C37}"/>
              </a:ext>
            </a:extLst>
          </xdr:cNvPr>
          <xdr:cNvSpPr/>
        </xdr:nvSpPr>
        <xdr:spPr>
          <a:xfrm>
            <a:off x="2123228" y="4925167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addTasks</a:t>
            </a:r>
          </a:p>
        </xdr:txBody>
      </xdr:sp>
      <xdr:sp macro="[0]!ToggleShapePrint" textlink="">
        <xdr:nvSpPr>
          <xdr:cNvPr id="37" name="Rectangle: Rounded Corners 36">
            <a:extLst>
              <a:ext uri="{FF2B5EF4-FFF2-40B4-BE49-F238E27FC236}">
                <a16:creationId xmlns:a16="http://schemas.microsoft.com/office/drawing/2014/main" id="{96CDA140-EB11-4378-A47E-E64667350D00}"/>
              </a:ext>
            </a:extLst>
          </xdr:cNvPr>
          <xdr:cNvSpPr/>
        </xdr:nvSpPr>
        <xdr:spPr>
          <a:xfrm>
            <a:off x="2123228" y="5369805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addMemo</a:t>
            </a:r>
          </a:p>
        </xdr:txBody>
      </xdr:sp>
      <xdr:sp macro="[0]!ToggleShapePrint" textlink="">
        <xdr:nvSpPr>
          <xdr:cNvPr id="38" name="Rectangle: Rounded Corners 37">
            <a:extLst>
              <a:ext uri="{FF2B5EF4-FFF2-40B4-BE49-F238E27FC236}">
                <a16:creationId xmlns:a16="http://schemas.microsoft.com/office/drawing/2014/main" id="{E08DC9F9-159E-4FE0-8DB6-6D7B06DF4CBC}"/>
              </a:ext>
            </a:extLst>
          </xdr:cNvPr>
          <xdr:cNvSpPr/>
        </xdr:nvSpPr>
        <xdr:spPr>
          <a:xfrm>
            <a:off x="2123228" y="5814446"/>
            <a:ext cx="1587798" cy="346909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DayForAll</a:t>
            </a:r>
          </a:p>
        </xdr:txBody>
      </xdr:sp>
    </xdr:grpSp>
    <xdr:clientData/>
  </xdr:twoCellAnchor>
  <xdr:twoCellAnchor>
    <xdr:from>
      <xdr:col>3</xdr:col>
      <xdr:colOff>223595</xdr:colOff>
      <xdr:row>4</xdr:row>
      <xdr:rowOff>53621</xdr:rowOff>
    </xdr:from>
    <xdr:to>
      <xdr:col>3</xdr:col>
      <xdr:colOff>1811393</xdr:colOff>
      <xdr:row>5</xdr:row>
      <xdr:rowOff>173267</xdr:rowOff>
    </xdr:to>
    <xdr:sp macro="[0]!ToggleShapePrint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8DD67AC3-5970-4E9D-BA0A-5C7D61768C8D}"/>
            </a:ext>
          </a:extLst>
        </xdr:cNvPr>
        <xdr:cNvSpPr/>
      </xdr:nvSpPr>
      <xdr:spPr>
        <a:xfrm>
          <a:off x="2148648" y="1189937"/>
          <a:ext cx="1587798" cy="346909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Visible</a:t>
          </a:r>
        </a:p>
      </xdr:txBody>
    </xdr:sp>
    <xdr:clientData/>
  </xdr:twoCellAnchor>
  <xdr:twoCellAnchor>
    <xdr:from>
      <xdr:col>2</xdr:col>
      <xdr:colOff>248988</xdr:colOff>
      <xdr:row>22</xdr:row>
      <xdr:rowOff>186082</xdr:rowOff>
    </xdr:from>
    <xdr:to>
      <xdr:col>2</xdr:col>
      <xdr:colOff>1838854</xdr:colOff>
      <xdr:row>39</xdr:row>
      <xdr:rowOff>79402</xdr:rowOff>
    </xdr:to>
    <xdr:grpSp>
      <xdr:nvGrpSpPr>
        <xdr:cNvPr id="22" name="visibilityShapeGroup">
          <a:extLst>
            <a:ext uri="{FF2B5EF4-FFF2-40B4-BE49-F238E27FC236}">
              <a16:creationId xmlns:a16="http://schemas.microsoft.com/office/drawing/2014/main" id="{007A83D3-D550-4EA5-8285-17C3FDC0827C}"/>
            </a:ext>
          </a:extLst>
        </xdr:cNvPr>
        <xdr:cNvGrpSpPr/>
      </xdr:nvGrpSpPr>
      <xdr:grpSpPr>
        <a:xfrm>
          <a:off x="248988" y="5962042"/>
          <a:ext cx="1589866" cy="4297680"/>
          <a:chOff x="192514" y="2339474"/>
          <a:chExt cx="1589866" cy="3794346"/>
        </a:xfrm>
      </xdr:grpSpPr>
      <xdr:sp macro="[0]!ToggleShapeNamedRange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F96748B4-A3C0-48AC-888D-ADC11A61146B}"/>
              </a:ext>
            </a:extLst>
          </xdr:cNvPr>
          <xdr:cNvSpPr/>
        </xdr:nvSpPr>
        <xdr:spPr>
          <a:xfrm>
            <a:off x="219362" y="3181251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YearCalendar</a:t>
            </a:r>
          </a:p>
        </xdr:txBody>
      </xdr:sp>
      <xdr:sp macro="[0]!ToggleShapeNamedRange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C2962059-7656-46A6-B02A-69596C902314}"/>
              </a:ext>
            </a:extLst>
          </xdr:cNvPr>
          <xdr:cNvSpPr/>
        </xdr:nvSpPr>
        <xdr:spPr>
          <a:xfrm>
            <a:off x="203952" y="3630947"/>
            <a:ext cx="1578428" cy="294288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MonthCalendar</a:t>
            </a:r>
          </a:p>
        </xdr:txBody>
      </xdr:sp>
      <xdr:sp macro="[0]!ToggleShapeNamedRange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0B894456-8B07-4C43-919E-2F4B3CD19668}"/>
              </a:ext>
            </a:extLst>
          </xdr:cNvPr>
          <xdr:cNvSpPr/>
        </xdr:nvSpPr>
        <xdr:spPr>
          <a:xfrm>
            <a:off x="219362" y="4470862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DayCalendar</a:t>
            </a:r>
          </a:p>
        </xdr:txBody>
      </xdr:sp>
      <xdr:sp macro="[0]!ToggleShapeNamedRange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300E935F-407E-49A4-8FC7-531BDF17F946}"/>
              </a:ext>
            </a:extLst>
          </xdr:cNvPr>
          <xdr:cNvSpPr/>
        </xdr:nvSpPr>
        <xdr:spPr>
          <a:xfrm>
            <a:off x="219362" y="4030950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WeekCalendar</a:t>
            </a:r>
          </a:p>
        </xdr:txBody>
      </xdr:sp>
      <xdr:sp macro="[0]!ToggleShapeNamedRange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DC1A04C4-88FA-4DF6-A998-9857F4B554E3}"/>
              </a:ext>
            </a:extLst>
          </xdr:cNvPr>
          <xdr:cNvSpPr/>
        </xdr:nvSpPr>
        <xdr:spPr>
          <a:xfrm>
            <a:off x="219362" y="4910773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addTask</a:t>
            </a:r>
          </a:p>
        </xdr:txBody>
      </xdr:sp>
      <xdr:sp macro="[0]!ToggleShapeNamedRange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9A678175-341E-485E-A4C1-270B11D078CD}"/>
              </a:ext>
            </a:extLst>
          </xdr:cNvPr>
          <xdr:cNvSpPr/>
        </xdr:nvSpPr>
        <xdr:spPr>
          <a:xfrm>
            <a:off x="219362" y="5350685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addMemo</a:t>
            </a:r>
          </a:p>
        </xdr:txBody>
      </xdr:sp>
      <xdr:sp macro="[0]!ToggleShapeNamedRange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93E8E82A-29D3-4205-BB6B-5DEAA32C8B68}"/>
              </a:ext>
            </a:extLst>
          </xdr:cNvPr>
          <xdr:cNvSpPr/>
        </xdr:nvSpPr>
        <xdr:spPr>
          <a:xfrm>
            <a:off x="219362" y="5790600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DayForAll</a:t>
            </a:r>
          </a:p>
        </xdr:txBody>
      </xdr:sp>
      <xdr:sp macro="[0]!ToggleShapeNamedRange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DD7D0789-6B3D-4A1F-AE29-CEBB69B5004A}"/>
              </a:ext>
            </a:extLst>
          </xdr:cNvPr>
          <xdr:cNvSpPr/>
        </xdr:nvSpPr>
        <xdr:spPr>
          <a:xfrm>
            <a:off x="192514" y="2339474"/>
            <a:ext cx="1557969" cy="336400"/>
          </a:xfrm>
          <a:prstGeom prst="roundRect">
            <a:avLst/>
          </a:prstGeom>
          <a:solidFill>
            <a:srgbClr val="800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Settings</a:t>
            </a:r>
          </a:p>
        </xdr:txBody>
      </xdr:sp>
      <xdr:sp macro="[0]!ToggleShapeNamedRange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E3B240C6-B24E-47C3-ACCC-A790957BFDD4}"/>
              </a:ext>
            </a:extLst>
          </xdr:cNvPr>
          <xdr:cNvSpPr/>
        </xdr:nvSpPr>
        <xdr:spPr>
          <a:xfrm>
            <a:off x="217041" y="2742371"/>
            <a:ext cx="1557969" cy="343220"/>
          </a:xfrm>
          <a:prstGeom prst="roundRect">
            <a:avLst/>
          </a:prstGeom>
          <a:solidFill>
            <a:srgbClr val="008000"/>
          </a:solidFill>
          <a:scene3d>
            <a:camera prst="orthographicFront"/>
            <a:lightRig rig="flat" dir="t"/>
          </a:scene3d>
          <a:sp3d extrusionH="76200" contourW="12700" prstMaterial="powder">
            <a:bevelT w="254000" h="254000"/>
            <a:extrusionClr>
              <a:schemeClr val="bg1"/>
            </a:extrusionClr>
            <a:contourClr>
              <a:schemeClr val="bg1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/>
              <a:t>PrintControls</a:t>
            </a:r>
          </a:p>
        </xdr:txBody>
      </xdr:sp>
    </xdr:grpSp>
    <xdr:clientData/>
  </xdr:twoCellAnchor>
  <xdr:twoCellAnchor>
    <xdr:from>
      <xdr:col>2</xdr:col>
      <xdr:colOff>225072</xdr:colOff>
      <xdr:row>4</xdr:row>
      <xdr:rowOff>54990</xdr:rowOff>
    </xdr:from>
    <xdr:to>
      <xdr:col>2</xdr:col>
      <xdr:colOff>1783041</xdr:colOff>
      <xdr:row>5</xdr:row>
      <xdr:rowOff>165612</xdr:rowOff>
    </xdr:to>
    <xdr:sp macro="[0]!ToggleShapeNamedRange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099CDDF-AFDE-4D7E-A4BE-83A8F6933997}"/>
            </a:ext>
          </a:extLst>
        </xdr:cNvPr>
        <xdr:cNvSpPr/>
      </xdr:nvSpPr>
      <xdr:spPr>
        <a:xfrm>
          <a:off x="225072" y="1197990"/>
          <a:ext cx="1557969" cy="336400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ShowAll</a:t>
          </a:r>
        </a:p>
      </xdr:txBody>
    </xdr:sp>
    <xdr:clientData/>
  </xdr:twoCellAnchor>
  <xdr:twoCellAnchor>
    <xdr:from>
      <xdr:col>2</xdr:col>
      <xdr:colOff>210577</xdr:colOff>
      <xdr:row>5</xdr:row>
      <xdr:rowOff>230616</xdr:rowOff>
    </xdr:from>
    <xdr:to>
      <xdr:col>2</xdr:col>
      <xdr:colOff>1768546</xdr:colOff>
      <xdr:row>7</xdr:row>
      <xdr:rowOff>75639</xdr:rowOff>
    </xdr:to>
    <xdr:sp macro="[0]!ToggleShapeNamedRange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9DAA871D-E6D2-4824-8597-67E123F067C8}"/>
            </a:ext>
          </a:extLst>
        </xdr:cNvPr>
        <xdr:cNvSpPr/>
      </xdr:nvSpPr>
      <xdr:spPr>
        <a:xfrm>
          <a:off x="210577" y="1599394"/>
          <a:ext cx="1557969" cy="353023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HideAll</a:t>
          </a:r>
        </a:p>
      </xdr:txBody>
    </xdr:sp>
    <xdr:clientData/>
  </xdr:twoCellAnchor>
  <xdr:twoCellAnchor>
    <xdr:from>
      <xdr:col>2</xdr:col>
      <xdr:colOff>155221</xdr:colOff>
      <xdr:row>9</xdr:row>
      <xdr:rowOff>49670</xdr:rowOff>
    </xdr:from>
    <xdr:to>
      <xdr:col>2</xdr:col>
      <xdr:colOff>1876777</xdr:colOff>
      <xdr:row>13</xdr:row>
      <xdr:rowOff>247850</xdr:rowOff>
    </xdr:to>
    <xdr:sp macro="[0]!ToggleShapeNamedRange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456018CE-DCB2-43C3-B72F-EFD8D3CA4E8E}"/>
            </a:ext>
          </a:extLst>
        </xdr:cNvPr>
        <xdr:cNvSpPr/>
      </xdr:nvSpPr>
      <xdr:spPr>
        <a:xfrm>
          <a:off x="155221" y="2457590"/>
          <a:ext cx="1721556" cy="1234500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MonthCalendar</a:t>
          </a:r>
        </a:p>
        <a:p>
          <a:pPr algn="ctr"/>
          <a:r>
            <a:rPr lang="en-US" sz="1600" b="1"/>
            <a:t>DayCalendar</a:t>
          </a:r>
        </a:p>
        <a:p>
          <a:pPr algn="ctr"/>
          <a:r>
            <a:rPr lang="en-US" sz="1600" b="1"/>
            <a:t>AddMemo</a:t>
          </a:r>
        </a:p>
        <a:p>
          <a:pPr algn="ctr"/>
          <a:r>
            <a:rPr lang="en-US" sz="1600" b="1"/>
            <a:t>AddTask</a:t>
          </a:r>
        </a:p>
      </xdr:txBody>
    </xdr:sp>
    <xdr:clientData/>
  </xdr:twoCellAnchor>
  <xdr:twoCellAnchor>
    <xdr:from>
      <xdr:col>2</xdr:col>
      <xdr:colOff>198298</xdr:colOff>
      <xdr:row>14</xdr:row>
      <xdr:rowOff>96459</xdr:rowOff>
    </xdr:from>
    <xdr:to>
      <xdr:col>2</xdr:col>
      <xdr:colOff>1756267</xdr:colOff>
      <xdr:row>16</xdr:row>
      <xdr:rowOff>82348</xdr:rowOff>
    </xdr:to>
    <xdr:sp macro="[0]!ToggleShapeNamedRange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4177A2BD-C18B-49E2-B8C1-B500D2BE0A5C}"/>
            </a:ext>
          </a:extLst>
        </xdr:cNvPr>
        <xdr:cNvSpPr/>
      </xdr:nvSpPr>
      <xdr:spPr>
        <a:xfrm>
          <a:off x="198298" y="3799779"/>
          <a:ext cx="1557969" cy="504049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DayForAll</a:t>
          </a:r>
        </a:p>
        <a:p>
          <a:pPr algn="ctr"/>
          <a:endParaRPr lang="en-US" sz="1600" b="1"/>
        </a:p>
      </xdr:txBody>
    </xdr:sp>
    <xdr:clientData/>
  </xdr:twoCellAnchor>
  <xdr:twoCellAnchor>
    <xdr:from>
      <xdr:col>2</xdr:col>
      <xdr:colOff>155222</xdr:colOff>
      <xdr:row>16</xdr:row>
      <xdr:rowOff>158863</xdr:rowOff>
    </xdr:from>
    <xdr:to>
      <xdr:col>2</xdr:col>
      <xdr:colOff>1876778</xdr:colOff>
      <xdr:row>20</xdr:row>
      <xdr:rowOff>91440</xdr:rowOff>
    </xdr:to>
    <xdr:sp macro="[0]!ToggleShapeNamedRange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9AB845AD-31BB-4B7B-99C9-D5DED6EA756F}"/>
            </a:ext>
          </a:extLst>
        </xdr:cNvPr>
        <xdr:cNvSpPr/>
      </xdr:nvSpPr>
      <xdr:spPr>
        <a:xfrm>
          <a:off x="155222" y="4380343"/>
          <a:ext cx="1721556" cy="968897"/>
        </a:xfrm>
        <a:prstGeom prst="roundRect">
          <a:avLst/>
        </a:prstGeom>
        <a:solidFill>
          <a:schemeClr val="accent1">
            <a:lumMod val="50000"/>
          </a:schemeClr>
        </a:solidFill>
        <a:scene3d>
          <a:camera prst="orthographicFront"/>
          <a:lightRig rig="flat" dir="t"/>
        </a:scene3d>
        <a:sp3d extrusionH="76200" contourW="12700" prstMaterial="powder">
          <a:bevelT w="254000" h="254000"/>
          <a:extrusionClr>
            <a:schemeClr val="bg1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WeekCalendar</a:t>
          </a:r>
        </a:p>
        <a:p>
          <a:pPr algn="ctr"/>
          <a:r>
            <a:rPr lang="en-US" sz="1600" b="1"/>
            <a:t>AddMemo</a:t>
          </a:r>
        </a:p>
        <a:p>
          <a:pPr algn="ctr"/>
          <a:r>
            <a:rPr lang="en-US" sz="1600" b="1"/>
            <a:t>AddTask</a:t>
          </a:r>
        </a:p>
      </xdr:txBody>
    </xdr:sp>
    <xdr:clientData/>
  </xdr:twoCellAnchor>
  <xdr:twoCellAnchor>
    <xdr:from>
      <xdr:col>23</xdr:col>
      <xdr:colOff>84667</xdr:colOff>
      <xdr:row>1</xdr:row>
      <xdr:rowOff>42334</xdr:rowOff>
    </xdr:from>
    <xdr:to>
      <xdr:col>25</xdr:col>
      <xdr:colOff>117631</xdr:colOff>
      <xdr:row>2</xdr:row>
      <xdr:rowOff>301188</xdr:rowOff>
    </xdr:to>
    <xdr:sp macro="[0]!YearIncrement" textlink="">
      <xdr:nvSpPr>
        <xdr:cNvPr id="18" name="NextYear">
          <a:extLst>
            <a:ext uri="{FF2B5EF4-FFF2-40B4-BE49-F238E27FC236}">
              <a16:creationId xmlns:a16="http://schemas.microsoft.com/office/drawing/2014/main" id="{66D89EDD-47B7-4CCA-B510-077967772534}"/>
            </a:ext>
          </a:extLst>
        </xdr:cNvPr>
        <xdr:cNvSpPr/>
      </xdr:nvSpPr>
      <xdr:spPr>
        <a:xfrm>
          <a:off x="10828867" y="42334"/>
          <a:ext cx="764484" cy="48745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239889</xdr:colOff>
      <xdr:row>1</xdr:row>
      <xdr:rowOff>42334</xdr:rowOff>
    </xdr:from>
    <xdr:to>
      <xdr:col>8</xdr:col>
      <xdr:colOff>239889</xdr:colOff>
      <xdr:row>2</xdr:row>
      <xdr:rowOff>282222</xdr:rowOff>
    </xdr:to>
    <xdr:sp macro="[0]!YearIncrement" textlink="">
      <xdr:nvSpPr>
        <xdr:cNvPr id="29" name="PreviousYear">
          <a:extLst>
            <a:ext uri="{FF2B5EF4-FFF2-40B4-BE49-F238E27FC236}">
              <a16:creationId xmlns:a16="http://schemas.microsoft.com/office/drawing/2014/main" id="{0A3F2405-E883-4E81-8FD1-AE5F90F973D7}"/>
            </a:ext>
          </a:extLst>
        </xdr:cNvPr>
        <xdr:cNvSpPr/>
      </xdr:nvSpPr>
      <xdr:spPr>
        <a:xfrm>
          <a:off x="4979529" y="42334"/>
          <a:ext cx="731520" cy="46848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161996</xdr:colOff>
      <xdr:row>1</xdr:row>
      <xdr:rowOff>39940</xdr:rowOff>
    </xdr:from>
    <xdr:to>
      <xdr:col>16</xdr:col>
      <xdr:colOff>320040</xdr:colOff>
      <xdr:row>2</xdr:row>
      <xdr:rowOff>352391</xdr:rowOff>
    </xdr:to>
    <xdr:pic macro="[0]!YearIncrement">
      <xdr:nvPicPr>
        <xdr:cNvPr id="48" name="ResetYearOffset" descr="Flip calendar">
          <a:extLst>
            <a:ext uri="{FF2B5EF4-FFF2-40B4-BE49-F238E27FC236}">
              <a16:creationId xmlns:a16="http://schemas.microsoft.com/office/drawing/2014/main" id="{27F71833-4309-4421-816F-339A00D7E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86796" y="39940"/>
          <a:ext cx="523804" cy="5410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nastasiouAlex@gmail.com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buymeacoffee.com/AlexOfRhode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astasioualex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BCF28-F45A-42FB-A753-35C7692EA164}">
  <sheetPr codeName="Sheet9"/>
  <dimension ref="A1:G81"/>
  <sheetViews>
    <sheetView showGridLines="0" zoomScale="101" workbookViewId="0">
      <selection activeCell="B20" sqref="B20"/>
    </sheetView>
  </sheetViews>
  <sheetFormatPr defaultRowHeight="14.4"/>
  <cols>
    <col min="1" max="1" width="11.6640625" customWidth="1"/>
    <col min="2" max="2" width="28.44140625" customWidth="1"/>
    <col min="6" max="6" width="23.77734375" customWidth="1"/>
    <col min="15" max="15" width="13.33203125" bestFit="1" customWidth="1"/>
  </cols>
  <sheetData>
    <row r="1" spans="2:6">
      <c r="F1" s="55"/>
    </row>
    <row r="2" spans="2:6">
      <c r="F2" s="55"/>
    </row>
    <row r="4" spans="2:6" ht="18">
      <c r="E4" s="73" t="s">
        <v>85</v>
      </c>
    </row>
    <row r="5" spans="2:6" ht="18">
      <c r="E5" s="74" t="s">
        <v>98</v>
      </c>
    </row>
    <row r="6" spans="2:6" ht="18">
      <c r="E6" s="75" t="s">
        <v>99</v>
      </c>
    </row>
    <row r="7" spans="2:6" ht="18">
      <c r="E7" s="75" t="s">
        <v>100</v>
      </c>
    </row>
    <row r="8" spans="2:6" ht="18">
      <c r="E8" s="75" t="s">
        <v>101</v>
      </c>
      <c r="F8" s="55"/>
    </row>
    <row r="9" spans="2:6">
      <c r="F9" s="55"/>
    </row>
    <row r="10" spans="2:6">
      <c r="F10" s="55"/>
    </row>
    <row r="11" spans="2:6">
      <c r="F11" s="55"/>
    </row>
    <row r="12" spans="2:6">
      <c r="F12" s="55"/>
    </row>
    <row r="13" spans="2:6" ht="28.8">
      <c r="B13" s="76" t="s">
        <v>102</v>
      </c>
      <c r="F13" s="55"/>
    </row>
    <row r="16" spans="2:6">
      <c r="B16" s="77" t="s">
        <v>86</v>
      </c>
    </row>
    <row r="17" spans="2:7">
      <c r="G17" s="67"/>
    </row>
    <row r="18" spans="2:7">
      <c r="B18" t="s">
        <v>83</v>
      </c>
      <c r="G18" s="67"/>
    </row>
    <row r="19" spans="2:7">
      <c r="B19" t="s">
        <v>87</v>
      </c>
      <c r="G19" s="67"/>
    </row>
    <row r="63" spans="1:2">
      <c r="A63" t="s">
        <v>82</v>
      </c>
    </row>
    <row r="64" spans="1:2">
      <c r="B64" t="s">
        <v>74</v>
      </c>
    </row>
    <row r="66" spans="1:2">
      <c r="B66" t="s">
        <v>72</v>
      </c>
    </row>
    <row r="68" spans="1:2">
      <c r="A68" t="s">
        <v>75</v>
      </c>
      <c r="B68" t="s">
        <v>69</v>
      </c>
    </row>
    <row r="69" spans="1:2">
      <c r="A69" t="s">
        <v>76</v>
      </c>
      <c r="B69" t="s">
        <v>70</v>
      </c>
    </row>
    <row r="70" spans="1:2">
      <c r="A70" t="s">
        <v>77</v>
      </c>
      <c r="B70" t="s">
        <v>71</v>
      </c>
    </row>
    <row r="72" spans="1:2">
      <c r="B72" t="s">
        <v>73</v>
      </c>
    </row>
    <row r="74" spans="1:2">
      <c r="A74" t="s">
        <v>75</v>
      </c>
      <c r="B74" t="s">
        <v>64</v>
      </c>
    </row>
    <row r="75" spans="1:2" ht="28.8">
      <c r="A75" s="52" t="s">
        <v>84</v>
      </c>
      <c r="B75" t="s">
        <v>66</v>
      </c>
    </row>
    <row r="76" spans="1:2">
      <c r="A76" t="s">
        <v>76</v>
      </c>
      <c r="B76" t="s">
        <v>65</v>
      </c>
    </row>
    <row r="77" spans="1:2">
      <c r="A77" t="s">
        <v>78</v>
      </c>
      <c r="B77" t="s">
        <v>67</v>
      </c>
    </row>
    <row r="79" spans="1:2">
      <c r="B79" t="s">
        <v>79</v>
      </c>
    </row>
    <row r="81" spans="1:2">
      <c r="A81" t="s">
        <v>76</v>
      </c>
      <c r="B81" t="s">
        <v>68</v>
      </c>
    </row>
  </sheetData>
  <hyperlinks>
    <hyperlink ref="E7" r:id="rId1" xr:uid="{35102CA0-D60C-488A-AE13-F83AE81D9749}"/>
    <hyperlink ref="E6" r:id="rId2" xr:uid="{0B0A249B-45B5-43D0-BCE5-22B62EE3981A}"/>
    <hyperlink ref="E5" r:id="rId3" xr:uid="{B2F3FED1-39E7-4507-916E-59DE57A9B1E6}"/>
    <hyperlink ref="E8" r:id="rId4" xr:uid="{3C30DE85-251F-45F6-8BED-222AB8F184EF}"/>
  </hyperlinks>
  <pageMargins left="0.7" right="0.7" top="0.75" bottom="0.75" header="0.3" footer="0.3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70C73-4F02-4573-9017-4EDAC8288C17}">
  <sheetPr codeName="Sheet4"/>
  <dimension ref="A1:F34"/>
  <sheetViews>
    <sheetView showGridLines="0" topLeftCell="C1" workbookViewId="0">
      <selection activeCell="D4" sqref="D4"/>
    </sheetView>
  </sheetViews>
  <sheetFormatPr defaultRowHeight="14.4"/>
  <cols>
    <col min="1" max="1" width="7.6640625" hidden="1" customWidth="1"/>
    <col min="2" max="2" width="13.33203125" hidden="1" customWidth="1"/>
    <col min="3" max="3" width="22.77734375" customWidth="1"/>
    <col min="4" max="4" width="25.21875" customWidth="1"/>
    <col min="5" max="5" width="52.77734375" bestFit="1" customWidth="1"/>
    <col min="6" max="6" width="28.5546875" customWidth="1"/>
  </cols>
  <sheetData>
    <row r="1" spans="1:6" ht="30" customHeight="1">
      <c r="A1" s="15"/>
      <c r="B1" s="15"/>
      <c r="C1" s="83" t="s">
        <v>16</v>
      </c>
      <c r="D1" s="84"/>
      <c r="E1" s="84"/>
      <c r="F1" s="85"/>
    </row>
    <row r="2" spans="1:6">
      <c r="A2" s="15" t="s">
        <v>17</v>
      </c>
      <c r="B2" s="15">
        <v>4</v>
      </c>
      <c r="C2" s="16" t="s">
        <v>18</v>
      </c>
      <c r="D2" s="17" t="s">
        <v>19</v>
      </c>
      <c r="E2" s="17" t="s">
        <v>20</v>
      </c>
      <c r="F2" s="18" t="s">
        <v>21</v>
      </c>
    </row>
    <row r="3" spans="1:6">
      <c r="A3" s="15"/>
      <c r="B3" s="15"/>
      <c r="C3" s="19" t="s">
        <v>63</v>
      </c>
      <c r="D3" s="67" t="s">
        <v>94</v>
      </c>
      <c r="E3" s="20"/>
      <c r="F3" s="21"/>
    </row>
    <row r="4" spans="1:6">
      <c r="A4" s="15"/>
      <c r="B4" s="15"/>
      <c r="C4" s="19"/>
      <c r="D4" s="20"/>
      <c r="E4" s="20"/>
      <c r="F4" s="21"/>
    </row>
    <row r="5" spans="1:6">
      <c r="A5" s="15"/>
      <c r="B5" s="15"/>
      <c r="C5" s="19"/>
      <c r="D5" s="20"/>
      <c r="E5" s="20"/>
      <c r="F5" s="21"/>
    </row>
    <row r="6" spans="1:6">
      <c r="A6" s="15"/>
      <c r="B6" s="15"/>
      <c r="C6" s="19"/>
      <c r="D6" s="20"/>
      <c r="E6" s="20"/>
      <c r="F6" s="21"/>
    </row>
    <row r="7" spans="1:6">
      <c r="A7" s="15"/>
      <c r="B7" s="15"/>
      <c r="C7" s="19"/>
      <c r="D7" s="20"/>
      <c r="E7" s="20"/>
      <c r="F7" s="21"/>
    </row>
    <row r="8" spans="1:6">
      <c r="A8" s="15"/>
      <c r="B8" s="15"/>
      <c r="C8" s="19"/>
      <c r="D8" s="20"/>
      <c r="E8" s="20"/>
      <c r="F8" s="21"/>
    </row>
    <row r="9" spans="1:6">
      <c r="A9" s="15"/>
      <c r="B9" s="15"/>
      <c r="C9" s="19"/>
      <c r="D9" s="20"/>
      <c r="E9" s="20"/>
      <c r="F9" s="21"/>
    </row>
    <row r="10" spans="1:6">
      <c r="A10" s="15"/>
      <c r="B10" s="15"/>
      <c r="C10" s="19"/>
      <c r="D10" s="20"/>
      <c r="E10" s="20"/>
      <c r="F10" s="21"/>
    </row>
    <row r="11" spans="1:6">
      <c r="A11" s="15"/>
      <c r="B11" s="15"/>
      <c r="C11" s="19"/>
      <c r="D11" s="20"/>
      <c r="E11" s="20"/>
      <c r="F11" s="21"/>
    </row>
    <row r="12" spans="1:6">
      <c r="A12" s="15"/>
      <c r="B12" s="15"/>
      <c r="C12" s="19"/>
      <c r="D12" s="20"/>
      <c r="E12" s="20"/>
      <c r="F12" s="21"/>
    </row>
    <row r="13" spans="1:6">
      <c r="A13" s="15"/>
      <c r="B13" s="15"/>
      <c r="C13" s="19"/>
      <c r="D13" s="20"/>
      <c r="E13" s="20"/>
      <c r="F13" s="21"/>
    </row>
    <row r="14" spans="1:6">
      <c r="A14" s="15"/>
      <c r="B14" s="15"/>
      <c r="C14" s="19"/>
      <c r="D14" s="20"/>
      <c r="E14" s="20"/>
      <c r="F14" s="21"/>
    </row>
    <row r="15" spans="1:6">
      <c r="A15" s="15"/>
      <c r="B15" s="15"/>
      <c r="C15" s="19"/>
      <c r="D15" s="20"/>
      <c r="E15" s="20"/>
      <c r="F15" s="21"/>
    </row>
    <row r="16" spans="1:6">
      <c r="A16" s="15"/>
      <c r="B16" s="15"/>
      <c r="C16" s="19"/>
      <c r="D16" s="20"/>
      <c r="E16" s="20"/>
      <c r="F16" s="21"/>
    </row>
    <row r="17" spans="1:6">
      <c r="A17" s="15"/>
      <c r="B17" s="15"/>
      <c r="C17" s="19"/>
      <c r="D17" s="20"/>
      <c r="E17" s="22"/>
      <c r="F17" s="21"/>
    </row>
    <row r="18" spans="1:6">
      <c r="A18" s="15"/>
      <c r="B18" s="15"/>
      <c r="C18" s="19"/>
      <c r="D18" s="20"/>
      <c r="E18" s="20"/>
      <c r="F18" s="21"/>
    </row>
    <row r="19" spans="1:6">
      <c r="A19" s="15"/>
      <c r="B19" s="15"/>
      <c r="C19" s="19"/>
      <c r="D19" s="20"/>
      <c r="E19" s="20"/>
      <c r="F19" s="21"/>
    </row>
    <row r="20" spans="1:6">
      <c r="A20" s="15"/>
      <c r="B20" s="15"/>
      <c r="C20" s="19"/>
      <c r="D20" s="20"/>
      <c r="E20" s="20"/>
      <c r="F20" s="21"/>
    </row>
    <row r="21" spans="1:6">
      <c r="A21" s="15"/>
      <c r="B21" s="15"/>
      <c r="C21" s="19"/>
      <c r="D21" s="20"/>
      <c r="E21" s="20"/>
      <c r="F21" s="21"/>
    </row>
    <row r="22" spans="1:6">
      <c r="A22" s="15"/>
      <c r="B22" s="15"/>
      <c r="C22" s="19"/>
      <c r="D22" s="20"/>
      <c r="E22" s="20"/>
      <c r="F22" s="21"/>
    </row>
    <row r="23" spans="1:6" ht="15" thickBot="1">
      <c r="A23" s="15"/>
      <c r="B23" s="15"/>
      <c r="C23" s="23"/>
      <c r="D23" s="24"/>
      <c r="E23" s="24"/>
      <c r="F23" s="25"/>
    </row>
    <row r="24" spans="1:6">
      <c r="A24" s="15"/>
      <c r="B24" s="15"/>
    </row>
    <row r="25" spans="1:6">
      <c r="A25" s="15"/>
      <c r="B25" s="15"/>
    </row>
    <row r="26" spans="1:6">
      <c r="A26" s="15"/>
      <c r="B26" s="15"/>
    </row>
    <row r="27" spans="1:6">
      <c r="A27" s="15"/>
      <c r="B27" s="15"/>
    </row>
    <row r="28" spans="1:6">
      <c r="A28" s="15"/>
      <c r="B28" s="15"/>
    </row>
    <row r="29" spans="1:6">
      <c r="A29" s="15"/>
      <c r="B29" s="15"/>
    </row>
    <row r="30" spans="1:6">
      <c r="A30" s="15"/>
      <c r="B30" s="15"/>
    </row>
    <row r="31" spans="1:6">
      <c r="A31" s="15"/>
      <c r="B31" s="15"/>
    </row>
    <row r="32" spans="1:6">
      <c r="A32" s="15"/>
      <c r="B32" s="15"/>
    </row>
    <row r="33" spans="1:2">
      <c r="A33" s="15"/>
      <c r="B33" s="15"/>
    </row>
    <row r="34" spans="1:2">
      <c r="A34" s="15"/>
      <c r="B34" s="15"/>
    </row>
  </sheetData>
  <mergeCells count="1">
    <mergeCell ref="C1:F1"/>
  </mergeCells>
  <hyperlinks>
    <hyperlink ref="D3" r:id="rId1" xr:uid="{72411049-2795-4389-9B61-2C93C1E19C89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3750-FEE5-4FF9-B0D9-7C15ED4D527A}">
  <sheetPr codeName="Sheet3"/>
  <dimension ref="A1:NB1"/>
  <sheetViews>
    <sheetView workbookViewId="0">
      <selection sqref="A1:NB1"/>
    </sheetView>
  </sheetViews>
  <sheetFormatPr defaultRowHeight="14.4"/>
  <sheetData>
    <row r="1" spans="1:366">
      <c r="A1" s="14">
        <v>44562</v>
      </c>
      <c r="B1" s="14">
        <f>A1+1</f>
        <v>44563</v>
      </c>
      <c r="C1" s="14">
        <f t="shared" ref="C1:BN1" si="0">B1+1</f>
        <v>44564</v>
      </c>
      <c r="D1" s="14">
        <f t="shared" si="0"/>
        <v>44565</v>
      </c>
      <c r="E1" s="14">
        <f t="shared" si="0"/>
        <v>44566</v>
      </c>
      <c r="F1" s="14">
        <f t="shared" si="0"/>
        <v>44567</v>
      </c>
      <c r="G1" s="14">
        <f t="shared" si="0"/>
        <v>44568</v>
      </c>
      <c r="H1" s="14">
        <f t="shared" si="0"/>
        <v>44569</v>
      </c>
      <c r="I1" s="14">
        <f t="shared" si="0"/>
        <v>44570</v>
      </c>
      <c r="J1" s="14">
        <f t="shared" si="0"/>
        <v>44571</v>
      </c>
      <c r="K1" s="14">
        <f t="shared" si="0"/>
        <v>44572</v>
      </c>
      <c r="L1" s="14">
        <f t="shared" si="0"/>
        <v>44573</v>
      </c>
      <c r="M1" s="14">
        <f t="shared" si="0"/>
        <v>44574</v>
      </c>
      <c r="N1" s="14">
        <f t="shared" si="0"/>
        <v>44575</v>
      </c>
      <c r="O1" s="14">
        <f t="shared" si="0"/>
        <v>44576</v>
      </c>
      <c r="P1" s="14">
        <f t="shared" si="0"/>
        <v>44577</v>
      </c>
      <c r="Q1" s="14">
        <f t="shared" si="0"/>
        <v>44578</v>
      </c>
      <c r="R1" s="14">
        <f t="shared" si="0"/>
        <v>44579</v>
      </c>
      <c r="S1" s="14">
        <f t="shared" si="0"/>
        <v>44580</v>
      </c>
      <c r="T1" s="14">
        <f t="shared" si="0"/>
        <v>44581</v>
      </c>
      <c r="U1" s="14">
        <f t="shared" si="0"/>
        <v>44582</v>
      </c>
      <c r="V1" s="14">
        <f t="shared" si="0"/>
        <v>44583</v>
      </c>
      <c r="W1" s="14">
        <f t="shared" si="0"/>
        <v>44584</v>
      </c>
      <c r="X1" s="14">
        <f t="shared" si="0"/>
        <v>44585</v>
      </c>
      <c r="Y1" s="14">
        <f t="shared" si="0"/>
        <v>44586</v>
      </c>
      <c r="Z1" s="14">
        <f t="shared" si="0"/>
        <v>44587</v>
      </c>
      <c r="AA1" s="14">
        <f t="shared" si="0"/>
        <v>44588</v>
      </c>
      <c r="AB1" s="14">
        <f t="shared" si="0"/>
        <v>44589</v>
      </c>
      <c r="AC1" s="14">
        <f t="shared" si="0"/>
        <v>44590</v>
      </c>
      <c r="AD1" s="14">
        <f t="shared" si="0"/>
        <v>44591</v>
      </c>
      <c r="AE1" s="14">
        <f t="shared" si="0"/>
        <v>44592</v>
      </c>
      <c r="AF1" s="14">
        <f t="shared" si="0"/>
        <v>44593</v>
      </c>
      <c r="AG1" s="14">
        <f t="shared" si="0"/>
        <v>44594</v>
      </c>
      <c r="AH1" s="14">
        <f t="shared" si="0"/>
        <v>44595</v>
      </c>
      <c r="AI1" s="14">
        <f t="shared" si="0"/>
        <v>44596</v>
      </c>
      <c r="AJ1" s="14">
        <f t="shared" si="0"/>
        <v>44597</v>
      </c>
      <c r="AK1" s="14">
        <f t="shared" si="0"/>
        <v>44598</v>
      </c>
      <c r="AL1" s="14">
        <f t="shared" si="0"/>
        <v>44599</v>
      </c>
      <c r="AM1" s="14">
        <f t="shared" si="0"/>
        <v>44600</v>
      </c>
      <c r="AN1" s="14">
        <f t="shared" si="0"/>
        <v>44601</v>
      </c>
      <c r="AO1" s="14">
        <f t="shared" si="0"/>
        <v>44602</v>
      </c>
      <c r="AP1" s="14">
        <f t="shared" si="0"/>
        <v>44603</v>
      </c>
      <c r="AQ1" s="14">
        <f t="shared" si="0"/>
        <v>44604</v>
      </c>
      <c r="AR1" s="14">
        <f t="shared" si="0"/>
        <v>44605</v>
      </c>
      <c r="AS1" s="14">
        <f t="shared" si="0"/>
        <v>44606</v>
      </c>
      <c r="AT1" s="14">
        <f t="shared" si="0"/>
        <v>44607</v>
      </c>
      <c r="AU1" s="14">
        <f t="shared" si="0"/>
        <v>44608</v>
      </c>
      <c r="AV1" s="14">
        <f t="shared" si="0"/>
        <v>44609</v>
      </c>
      <c r="AW1" s="14">
        <f t="shared" si="0"/>
        <v>44610</v>
      </c>
      <c r="AX1" s="14">
        <f t="shared" si="0"/>
        <v>44611</v>
      </c>
      <c r="AY1" s="14">
        <f t="shared" si="0"/>
        <v>44612</v>
      </c>
      <c r="AZ1" s="14">
        <f t="shared" si="0"/>
        <v>44613</v>
      </c>
      <c r="BA1" s="14">
        <f t="shared" si="0"/>
        <v>44614</v>
      </c>
      <c r="BB1" s="14">
        <f t="shared" si="0"/>
        <v>44615</v>
      </c>
      <c r="BC1" s="14">
        <f t="shared" si="0"/>
        <v>44616</v>
      </c>
      <c r="BD1" s="14">
        <f t="shared" si="0"/>
        <v>44617</v>
      </c>
      <c r="BE1" s="14">
        <f t="shared" si="0"/>
        <v>44618</v>
      </c>
      <c r="BF1" s="14">
        <f t="shared" si="0"/>
        <v>44619</v>
      </c>
      <c r="BG1" s="14">
        <f t="shared" si="0"/>
        <v>44620</v>
      </c>
      <c r="BH1" s="14">
        <f t="shared" si="0"/>
        <v>44621</v>
      </c>
      <c r="BI1" s="14">
        <f t="shared" si="0"/>
        <v>44622</v>
      </c>
      <c r="BJ1" s="14">
        <f t="shared" si="0"/>
        <v>44623</v>
      </c>
      <c r="BK1" s="14">
        <f t="shared" si="0"/>
        <v>44624</v>
      </c>
      <c r="BL1" s="14">
        <f t="shared" si="0"/>
        <v>44625</v>
      </c>
      <c r="BM1" s="14">
        <f t="shared" si="0"/>
        <v>44626</v>
      </c>
      <c r="BN1" s="14">
        <f t="shared" si="0"/>
        <v>44627</v>
      </c>
      <c r="BO1" s="14">
        <f t="shared" ref="BO1:DZ1" si="1">BN1+1</f>
        <v>44628</v>
      </c>
      <c r="BP1" s="14">
        <f t="shared" si="1"/>
        <v>44629</v>
      </c>
      <c r="BQ1" s="14">
        <f t="shared" si="1"/>
        <v>44630</v>
      </c>
      <c r="BR1" s="14">
        <f t="shared" si="1"/>
        <v>44631</v>
      </c>
      <c r="BS1" s="14">
        <f t="shared" si="1"/>
        <v>44632</v>
      </c>
      <c r="BT1" s="14">
        <f t="shared" si="1"/>
        <v>44633</v>
      </c>
      <c r="BU1" s="14">
        <f t="shared" si="1"/>
        <v>44634</v>
      </c>
      <c r="BV1" s="14">
        <f t="shared" si="1"/>
        <v>44635</v>
      </c>
      <c r="BW1" s="14">
        <f t="shared" si="1"/>
        <v>44636</v>
      </c>
      <c r="BX1" s="14">
        <f t="shared" si="1"/>
        <v>44637</v>
      </c>
      <c r="BY1" s="14">
        <f t="shared" si="1"/>
        <v>44638</v>
      </c>
      <c r="BZ1" s="14">
        <f t="shared" si="1"/>
        <v>44639</v>
      </c>
      <c r="CA1" s="14">
        <f t="shared" si="1"/>
        <v>44640</v>
      </c>
      <c r="CB1" s="14">
        <f t="shared" si="1"/>
        <v>44641</v>
      </c>
      <c r="CC1" s="14">
        <f t="shared" si="1"/>
        <v>44642</v>
      </c>
      <c r="CD1" s="14">
        <f t="shared" si="1"/>
        <v>44643</v>
      </c>
      <c r="CE1" s="14">
        <f t="shared" si="1"/>
        <v>44644</v>
      </c>
      <c r="CF1" s="14">
        <f t="shared" si="1"/>
        <v>44645</v>
      </c>
      <c r="CG1" s="14">
        <f t="shared" si="1"/>
        <v>44646</v>
      </c>
      <c r="CH1" s="14">
        <f t="shared" si="1"/>
        <v>44647</v>
      </c>
      <c r="CI1" s="14">
        <f t="shared" si="1"/>
        <v>44648</v>
      </c>
      <c r="CJ1" s="14">
        <f t="shared" si="1"/>
        <v>44649</v>
      </c>
      <c r="CK1" s="14">
        <f t="shared" si="1"/>
        <v>44650</v>
      </c>
      <c r="CL1" s="14">
        <f t="shared" si="1"/>
        <v>44651</v>
      </c>
      <c r="CM1" s="14">
        <f t="shared" si="1"/>
        <v>44652</v>
      </c>
      <c r="CN1" s="14">
        <f t="shared" si="1"/>
        <v>44653</v>
      </c>
      <c r="CO1" s="14">
        <f t="shared" si="1"/>
        <v>44654</v>
      </c>
      <c r="CP1" s="14">
        <f t="shared" si="1"/>
        <v>44655</v>
      </c>
      <c r="CQ1" s="14">
        <f t="shared" si="1"/>
        <v>44656</v>
      </c>
      <c r="CR1" s="14">
        <f t="shared" si="1"/>
        <v>44657</v>
      </c>
      <c r="CS1" s="14">
        <f t="shared" si="1"/>
        <v>44658</v>
      </c>
      <c r="CT1" s="14">
        <f t="shared" si="1"/>
        <v>44659</v>
      </c>
      <c r="CU1" s="14">
        <f t="shared" si="1"/>
        <v>44660</v>
      </c>
      <c r="CV1" s="14">
        <f t="shared" si="1"/>
        <v>44661</v>
      </c>
      <c r="CW1" s="14">
        <f t="shared" si="1"/>
        <v>44662</v>
      </c>
      <c r="CX1" s="14">
        <f t="shared" si="1"/>
        <v>44663</v>
      </c>
      <c r="CY1" s="14">
        <f t="shared" si="1"/>
        <v>44664</v>
      </c>
      <c r="CZ1" s="14">
        <f t="shared" si="1"/>
        <v>44665</v>
      </c>
      <c r="DA1" s="14">
        <f t="shared" si="1"/>
        <v>44666</v>
      </c>
      <c r="DB1" s="14">
        <f t="shared" si="1"/>
        <v>44667</v>
      </c>
      <c r="DC1" s="14">
        <f t="shared" si="1"/>
        <v>44668</v>
      </c>
      <c r="DD1" s="14">
        <f t="shared" si="1"/>
        <v>44669</v>
      </c>
      <c r="DE1" s="14">
        <f t="shared" si="1"/>
        <v>44670</v>
      </c>
      <c r="DF1" s="14">
        <f t="shared" si="1"/>
        <v>44671</v>
      </c>
      <c r="DG1" s="14">
        <f t="shared" si="1"/>
        <v>44672</v>
      </c>
      <c r="DH1" s="14">
        <f t="shared" si="1"/>
        <v>44673</v>
      </c>
      <c r="DI1" s="14">
        <f t="shared" si="1"/>
        <v>44674</v>
      </c>
      <c r="DJ1" s="14">
        <f t="shared" si="1"/>
        <v>44675</v>
      </c>
      <c r="DK1" s="14">
        <f t="shared" si="1"/>
        <v>44676</v>
      </c>
      <c r="DL1" s="14">
        <f t="shared" si="1"/>
        <v>44677</v>
      </c>
      <c r="DM1" s="14">
        <f t="shared" si="1"/>
        <v>44678</v>
      </c>
      <c r="DN1" s="14">
        <f t="shared" si="1"/>
        <v>44679</v>
      </c>
      <c r="DO1" s="14">
        <f t="shared" si="1"/>
        <v>44680</v>
      </c>
      <c r="DP1" s="14">
        <f t="shared" si="1"/>
        <v>44681</v>
      </c>
      <c r="DQ1" s="14">
        <f t="shared" si="1"/>
        <v>44682</v>
      </c>
      <c r="DR1" s="14">
        <f t="shared" si="1"/>
        <v>44683</v>
      </c>
      <c r="DS1" s="14">
        <f t="shared" si="1"/>
        <v>44684</v>
      </c>
      <c r="DT1" s="14">
        <f t="shared" si="1"/>
        <v>44685</v>
      </c>
      <c r="DU1" s="14">
        <f t="shared" si="1"/>
        <v>44686</v>
      </c>
      <c r="DV1" s="14">
        <f t="shared" si="1"/>
        <v>44687</v>
      </c>
      <c r="DW1" s="14">
        <f t="shared" si="1"/>
        <v>44688</v>
      </c>
      <c r="DX1" s="14">
        <f t="shared" si="1"/>
        <v>44689</v>
      </c>
      <c r="DY1" s="14">
        <f t="shared" si="1"/>
        <v>44690</v>
      </c>
      <c r="DZ1" s="14">
        <f t="shared" si="1"/>
        <v>44691</v>
      </c>
      <c r="EA1" s="14">
        <f t="shared" ref="EA1:GL1" si="2">DZ1+1</f>
        <v>44692</v>
      </c>
      <c r="EB1" s="14">
        <f t="shared" si="2"/>
        <v>44693</v>
      </c>
      <c r="EC1" s="14">
        <f t="shared" si="2"/>
        <v>44694</v>
      </c>
      <c r="ED1" s="14">
        <f t="shared" si="2"/>
        <v>44695</v>
      </c>
      <c r="EE1" s="14">
        <f t="shared" si="2"/>
        <v>44696</v>
      </c>
      <c r="EF1" s="14">
        <f t="shared" si="2"/>
        <v>44697</v>
      </c>
      <c r="EG1" s="14">
        <f t="shared" si="2"/>
        <v>44698</v>
      </c>
      <c r="EH1" s="14">
        <f t="shared" si="2"/>
        <v>44699</v>
      </c>
      <c r="EI1" s="14">
        <f t="shared" si="2"/>
        <v>44700</v>
      </c>
      <c r="EJ1" s="14">
        <f t="shared" si="2"/>
        <v>44701</v>
      </c>
      <c r="EK1" s="14">
        <f t="shared" si="2"/>
        <v>44702</v>
      </c>
      <c r="EL1" s="14">
        <f t="shared" si="2"/>
        <v>44703</v>
      </c>
      <c r="EM1" s="14">
        <f t="shared" si="2"/>
        <v>44704</v>
      </c>
      <c r="EN1" s="14">
        <f t="shared" si="2"/>
        <v>44705</v>
      </c>
      <c r="EO1" s="14">
        <f t="shared" si="2"/>
        <v>44706</v>
      </c>
      <c r="EP1" s="14">
        <f t="shared" si="2"/>
        <v>44707</v>
      </c>
      <c r="EQ1" s="14">
        <f t="shared" si="2"/>
        <v>44708</v>
      </c>
      <c r="ER1" s="14">
        <f t="shared" si="2"/>
        <v>44709</v>
      </c>
      <c r="ES1" s="14">
        <f t="shared" si="2"/>
        <v>44710</v>
      </c>
      <c r="ET1" s="14">
        <f t="shared" si="2"/>
        <v>44711</v>
      </c>
      <c r="EU1" s="14">
        <f t="shared" si="2"/>
        <v>44712</v>
      </c>
      <c r="EV1" s="14">
        <f t="shared" si="2"/>
        <v>44713</v>
      </c>
      <c r="EW1" s="14">
        <f t="shared" si="2"/>
        <v>44714</v>
      </c>
      <c r="EX1" s="14">
        <f t="shared" si="2"/>
        <v>44715</v>
      </c>
      <c r="EY1" s="14">
        <f t="shared" si="2"/>
        <v>44716</v>
      </c>
      <c r="EZ1" s="14">
        <f t="shared" si="2"/>
        <v>44717</v>
      </c>
      <c r="FA1" s="14">
        <f t="shared" si="2"/>
        <v>44718</v>
      </c>
      <c r="FB1" s="14">
        <f t="shared" si="2"/>
        <v>44719</v>
      </c>
      <c r="FC1" s="14">
        <f t="shared" si="2"/>
        <v>44720</v>
      </c>
      <c r="FD1" s="14">
        <f t="shared" si="2"/>
        <v>44721</v>
      </c>
      <c r="FE1" s="14">
        <f t="shared" si="2"/>
        <v>44722</v>
      </c>
      <c r="FF1" s="14">
        <f t="shared" si="2"/>
        <v>44723</v>
      </c>
      <c r="FG1" s="14">
        <f t="shared" si="2"/>
        <v>44724</v>
      </c>
      <c r="FH1" s="14">
        <f t="shared" si="2"/>
        <v>44725</v>
      </c>
      <c r="FI1" s="14">
        <f t="shared" si="2"/>
        <v>44726</v>
      </c>
      <c r="FJ1" s="14">
        <f t="shared" si="2"/>
        <v>44727</v>
      </c>
      <c r="FK1" s="14">
        <f t="shared" si="2"/>
        <v>44728</v>
      </c>
      <c r="FL1" s="14">
        <f t="shared" si="2"/>
        <v>44729</v>
      </c>
      <c r="FM1" s="14">
        <f t="shared" si="2"/>
        <v>44730</v>
      </c>
      <c r="FN1" s="14">
        <f t="shared" si="2"/>
        <v>44731</v>
      </c>
      <c r="FO1" s="14">
        <f t="shared" si="2"/>
        <v>44732</v>
      </c>
      <c r="FP1" s="14">
        <f t="shared" si="2"/>
        <v>44733</v>
      </c>
      <c r="FQ1" s="14">
        <f t="shared" si="2"/>
        <v>44734</v>
      </c>
      <c r="FR1" s="14">
        <f t="shared" si="2"/>
        <v>44735</v>
      </c>
      <c r="FS1" s="14">
        <f t="shared" si="2"/>
        <v>44736</v>
      </c>
      <c r="FT1" s="14">
        <f t="shared" si="2"/>
        <v>44737</v>
      </c>
      <c r="FU1" s="14">
        <f t="shared" si="2"/>
        <v>44738</v>
      </c>
      <c r="FV1" s="14">
        <f t="shared" si="2"/>
        <v>44739</v>
      </c>
      <c r="FW1" s="14">
        <f t="shared" si="2"/>
        <v>44740</v>
      </c>
      <c r="FX1" s="14">
        <f t="shared" si="2"/>
        <v>44741</v>
      </c>
      <c r="FY1" s="14">
        <f t="shared" si="2"/>
        <v>44742</v>
      </c>
      <c r="FZ1" s="14">
        <f t="shared" si="2"/>
        <v>44743</v>
      </c>
      <c r="GA1" s="14">
        <f t="shared" si="2"/>
        <v>44744</v>
      </c>
      <c r="GB1" s="14">
        <f t="shared" si="2"/>
        <v>44745</v>
      </c>
      <c r="GC1" s="14">
        <f t="shared" si="2"/>
        <v>44746</v>
      </c>
      <c r="GD1" s="14">
        <f t="shared" si="2"/>
        <v>44747</v>
      </c>
      <c r="GE1" s="14">
        <f t="shared" si="2"/>
        <v>44748</v>
      </c>
      <c r="GF1" s="14">
        <f t="shared" si="2"/>
        <v>44749</v>
      </c>
      <c r="GG1" s="14">
        <f t="shared" si="2"/>
        <v>44750</v>
      </c>
      <c r="GH1" s="14">
        <f t="shared" si="2"/>
        <v>44751</v>
      </c>
      <c r="GI1" s="14">
        <f t="shared" si="2"/>
        <v>44752</v>
      </c>
      <c r="GJ1" s="14">
        <f t="shared" si="2"/>
        <v>44753</v>
      </c>
      <c r="GK1" s="14">
        <f t="shared" si="2"/>
        <v>44754</v>
      </c>
      <c r="GL1" s="14">
        <f t="shared" si="2"/>
        <v>44755</v>
      </c>
      <c r="GM1" s="14">
        <f t="shared" ref="GM1:HC1" si="3">GL1+1</f>
        <v>44756</v>
      </c>
      <c r="GN1" s="14">
        <f t="shared" si="3"/>
        <v>44757</v>
      </c>
      <c r="GO1" s="14">
        <f t="shared" si="3"/>
        <v>44758</v>
      </c>
      <c r="GP1" s="14">
        <f t="shared" si="3"/>
        <v>44759</v>
      </c>
      <c r="GQ1" s="14">
        <f t="shared" si="3"/>
        <v>44760</v>
      </c>
      <c r="GR1" s="14">
        <f t="shared" si="3"/>
        <v>44761</v>
      </c>
      <c r="GS1" s="14">
        <f t="shared" si="3"/>
        <v>44762</v>
      </c>
      <c r="GT1" s="14">
        <f t="shared" si="3"/>
        <v>44763</v>
      </c>
      <c r="GU1" s="14">
        <f t="shared" si="3"/>
        <v>44764</v>
      </c>
      <c r="GV1" s="14">
        <f t="shared" si="3"/>
        <v>44765</v>
      </c>
      <c r="GW1" s="14">
        <f t="shared" si="3"/>
        <v>44766</v>
      </c>
      <c r="GX1" s="14">
        <f t="shared" si="3"/>
        <v>44767</v>
      </c>
      <c r="GY1" s="14">
        <f t="shared" si="3"/>
        <v>44768</v>
      </c>
      <c r="GZ1" s="14">
        <f t="shared" si="3"/>
        <v>44769</v>
      </c>
      <c r="HA1" s="14">
        <f t="shared" si="3"/>
        <v>44770</v>
      </c>
      <c r="HB1" s="14">
        <f t="shared" si="3"/>
        <v>44771</v>
      </c>
      <c r="HC1" s="14">
        <f t="shared" si="3"/>
        <v>44772</v>
      </c>
      <c r="HD1" s="14">
        <f>HC1+1</f>
        <v>44773</v>
      </c>
      <c r="HE1" s="14">
        <f t="shared" ref="HE1:JF1" si="4">HD1+1</f>
        <v>44774</v>
      </c>
      <c r="HF1" s="14">
        <f t="shared" si="4"/>
        <v>44775</v>
      </c>
      <c r="HG1" s="14">
        <f t="shared" si="4"/>
        <v>44776</v>
      </c>
      <c r="HH1" s="14">
        <f t="shared" si="4"/>
        <v>44777</v>
      </c>
      <c r="HI1" s="14">
        <f t="shared" si="4"/>
        <v>44778</v>
      </c>
      <c r="HJ1" s="14">
        <f t="shared" si="4"/>
        <v>44779</v>
      </c>
      <c r="HK1" s="14">
        <f t="shared" si="4"/>
        <v>44780</v>
      </c>
      <c r="HL1" s="14">
        <f t="shared" si="4"/>
        <v>44781</v>
      </c>
      <c r="HM1" s="14">
        <f t="shared" si="4"/>
        <v>44782</v>
      </c>
      <c r="HN1" s="14">
        <f t="shared" si="4"/>
        <v>44783</v>
      </c>
      <c r="HO1" s="14">
        <f t="shared" si="4"/>
        <v>44784</v>
      </c>
      <c r="HP1" s="14">
        <f t="shared" si="4"/>
        <v>44785</v>
      </c>
      <c r="HQ1" s="14">
        <f t="shared" si="4"/>
        <v>44786</v>
      </c>
      <c r="HR1" s="14">
        <f t="shared" si="4"/>
        <v>44787</v>
      </c>
      <c r="HS1" s="14">
        <f t="shared" si="4"/>
        <v>44788</v>
      </c>
      <c r="HT1" s="14">
        <f t="shared" si="4"/>
        <v>44789</v>
      </c>
      <c r="HU1" s="14">
        <f t="shared" si="4"/>
        <v>44790</v>
      </c>
      <c r="HV1" s="14">
        <f t="shared" si="4"/>
        <v>44791</v>
      </c>
      <c r="HW1" s="14">
        <f t="shared" si="4"/>
        <v>44792</v>
      </c>
      <c r="HX1" s="14">
        <f t="shared" si="4"/>
        <v>44793</v>
      </c>
      <c r="HY1" s="14">
        <f t="shared" si="4"/>
        <v>44794</v>
      </c>
      <c r="HZ1" s="14">
        <f t="shared" si="4"/>
        <v>44795</v>
      </c>
      <c r="IA1" s="14">
        <f t="shared" si="4"/>
        <v>44796</v>
      </c>
      <c r="IB1" s="14">
        <f t="shared" si="4"/>
        <v>44797</v>
      </c>
      <c r="IC1" s="14">
        <f t="shared" si="4"/>
        <v>44798</v>
      </c>
      <c r="ID1" s="14">
        <f t="shared" si="4"/>
        <v>44799</v>
      </c>
      <c r="IE1" s="14">
        <f t="shared" si="4"/>
        <v>44800</v>
      </c>
      <c r="IF1" s="14">
        <f t="shared" si="4"/>
        <v>44801</v>
      </c>
      <c r="IG1" s="14">
        <f t="shared" si="4"/>
        <v>44802</v>
      </c>
      <c r="IH1" s="14">
        <f t="shared" si="4"/>
        <v>44803</v>
      </c>
      <c r="II1" s="14">
        <f t="shared" si="4"/>
        <v>44804</v>
      </c>
      <c r="IJ1" s="14">
        <f t="shared" si="4"/>
        <v>44805</v>
      </c>
      <c r="IK1" s="14">
        <f t="shared" si="4"/>
        <v>44806</v>
      </c>
      <c r="IL1" s="14">
        <f t="shared" si="4"/>
        <v>44807</v>
      </c>
      <c r="IM1" s="14">
        <f t="shared" si="4"/>
        <v>44808</v>
      </c>
      <c r="IN1" s="14">
        <f t="shared" si="4"/>
        <v>44809</v>
      </c>
      <c r="IO1" s="14">
        <f t="shared" si="4"/>
        <v>44810</v>
      </c>
      <c r="IP1" s="14">
        <f t="shared" si="4"/>
        <v>44811</v>
      </c>
      <c r="IQ1" s="14">
        <f t="shared" si="4"/>
        <v>44812</v>
      </c>
      <c r="IR1" s="14">
        <f t="shared" si="4"/>
        <v>44813</v>
      </c>
      <c r="IS1" s="14">
        <f t="shared" si="4"/>
        <v>44814</v>
      </c>
      <c r="IT1" s="14">
        <f t="shared" si="4"/>
        <v>44815</v>
      </c>
      <c r="IU1" s="14">
        <f t="shared" si="4"/>
        <v>44816</v>
      </c>
      <c r="IV1" s="14">
        <f t="shared" si="4"/>
        <v>44817</v>
      </c>
      <c r="IW1" s="14">
        <f t="shared" si="4"/>
        <v>44818</v>
      </c>
      <c r="IX1" s="14">
        <f t="shared" si="4"/>
        <v>44819</v>
      </c>
      <c r="IY1" s="14">
        <f t="shared" si="4"/>
        <v>44820</v>
      </c>
      <c r="IZ1" s="14">
        <f t="shared" si="4"/>
        <v>44821</v>
      </c>
      <c r="JA1" s="14">
        <f t="shared" si="4"/>
        <v>44822</v>
      </c>
      <c r="JB1" s="14">
        <f t="shared" si="4"/>
        <v>44823</v>
      </c>
      <c r="JC1" s="14">
        <f t="shared" si="4"/>
        <v>44824</v>
      </c>
      <c r="JD1" s="14">
        <f t="shared" si="4"/>
        <v>44825</v>
      </c>
      <c r="JE1" s="14">
        <f t="shared" si="4"/>
        <v>44826</v>
      </c>
      <c r="JF1" s="14">
        <f t="shared" si="4"/>
        <v>44827</v>
      </c>
      <c r="JG1" s="14">
        <f>JF1+1</f>
        <v>44828</v>
      </c>
      <c r="JH1" s="14">
        <f t="shared" ref="JH1:LL1" si="5">JG1+1</f>
        <v>44829</v>
      </c>
      <c r="JI1" s="14">
        <f t="shared" si="5"/>
        <v>44830</v>
      </c>
      <c r="JJ1" s="14">
        <f t="shared" si="5"/>
        <v>44831</v>
      </c>
      <c r="JK1" s="14">
        <f t="shared" si="5"/>
        <v>44832</v>
      </c>
      <c r="JL1" s="14">
        <f t="shared" si="5"/>
        <v>44833</v>
      </c>
      <c r="JM1" s="14">
        <f t="shared" si="5"/>
        <v>44834</v>
      </c>
      <c r="JN1" s="14">
        <f t="shared" si="5"/>
        <v>44835</v>
      </c>
      <c r="JO1" s="14">
        <f t="shared" si="5"/>
        <v>44836</v>
      </c>
      <c r="JP1" s="14">
        <f t="shared" si="5"/>
        <v>44837</v>
      </c>
      <c r="JQ1" s="14">
        <f t="shared" si="5"/>
        <v>44838</v>
      </c>
      <c r="JR1" s="14">
        <f t="shared" si="5"/>
        <v>44839</v>
      </c>
      <c r="JS1" s="14">
        <f t="shared" si="5"/>
        <v>44840</v>
      </c>
      <c r="JT1" s="14">
        <f t="shared" si="5"/>
        <v>44841</v>
      </c>
      <c r="JU1" s="14">
        <f t="shared" si="5"/>
        <v>44842</v>
      </c>
      <c r="JV1" s="14">
        <f t="shared" si="5"/>
        <v>44843</v>
      </c>
      <c r="JW1" s="14">
        <f t="shared" si="5"/>
        <v>44844</v>
      </c>
      <c r="JX1" s="14">
        <f t="shared" si="5"/>
        <v>44845</v>
      </c>
      <c r="JY1" s="14">
        <f t="shared" si="5"/>
        <v>44846</v>
      </c>
      <c r="JZ1" s="14">
        <f t="shared" si="5"/>
        <v>44847</v>
      </c>
      <c r="KA1" s="14">
        <f t="shared" si="5"/>
        <v>44848</v>
      </c>
      <c r="KB1" s="14">
        <f t="shared" si="5"/>
        <v>44849</v>
      </c>
      <c r="KC1" s="14">
        <f t="shared" si="5"/>
        <v>44850</v>
      </c>
      <c r="KD1" s="14">
        <f t="shared" si="5"/>
        <v>44851</v>
      </c>
      <c r="KE1" s="14">
        <f t="shared" si="5"/>
        <v>44852</v>
      </c>
      <c r="KF1" s="14">
        <f t="shared" si="5"/>
        <v>44853</v>
      </c>
      <c r="KG1" s="14">
        <f t="shared" si="5"/>
        <v>44854</v>
      </c>
      <c r="KH1" s="14">
        <f t="shared" si="5"/>
        <v>44855</v>
      </c>
      <c r="KI1" s="14">
        <f t="shared" si="5"/>
        <v>44856</v>
      </c>
      <c r="KJ1" s="14">
        <f t="shared" si="5"/>
        <v>44857</v>
      </c>
      <c r="KK1" s="14">
        <f t="shared" si="5"/>
        <v>44858</v>
      </c>
      <c r="KL1" s="14">
        <f t="shared" si="5"/>
        <v>44859</v>
      </c>
      <c r="KM1" s="14">
        <f t="shared" si="5"/>
        <v>44860</v>
      </c>
      <c r="KN1" s="14">
        <f t="shared" si="5"/>
        <v>44861</v>
      </c>
      <c r="KO1" s="14">
        <f t="shared" si="5"/>
        <v>44862</v>
      </c>
      <c r="KP1" s="14">
        <f t="shared" si="5"/>
        <v>44863</v>
      </c>
      <c r="KQ1" s="14">
        <f t="shared" si="5"/>
        <v>44864</v>
      </c>
      <c r="KR1" s="14">
        <f t="shared" si="5"/>
        <v>44865</v>
      </c>
      <c r="KS1" s="14">
        <f t="shared" si="5"/>
        <v>44866</v>
      </c>
      <c r="KT1" s="14">
        <f t="shared" si="5"/>
        <v>44867</v>
      </c>
      <c r="KU1" s="14">
        <f t="shared" si="5"/>
        <v>44868</v>
      </c>
      <c r="KV1" s="14">
        <f t="shared" si="5"/>
        <v>44869</v>
      </c>
      <c r="KW1" s="14">
        <f t="shared" si="5"/>
        <v>44870</v>
      </c>
      <c r="KX1" s="14">
        <f t="shared" si="5"/>
        <v>44871</v>
      </c>
      <c r="KY1" s="14">
        <f t="shared" si="5"/>
        <v>44872</v>
      </c>
      <c r="KZ1" s="14">
        <f t="shared" si="5"/>
        <v>44873</v>
      </c>
      <c r="LA1" s="14">
        <f t="shared" si="5"/>
        <v>44874</v>
      </c>
      <c r="LB1" s="14">
        <f t="shared" si="5"/>
        <v>44875</v>
      </c>
      <c r="LC1" s="14">
        <f t="shared" si="5"/>
        <v>44876</v>
      </c>
      <c r="LD1" s="14">
        <f t="shared" si="5"/>
        <v>44877</v>
      </c>
      <c r="LE1" s="14">
        <f t="shared" si="5"/>
        <v>44878</v>
      </c>
      <c r="LF1" s="14">
        <f t="shared" si="5"/>
        <v>44879</v>
      </c>
      <c r="LG1" s="14">
        <f t="shared" si="5"/>
        <v>44880</v>
      </c>
      <c r="LH1" s="14">
        <f t="shared" si="5"/>
        <v>44881</v>
      </c>
      <c r="LI1" s="14">
        <f t="shared" si="5"/>
        <v>44882</v>
      </c>
      <c r="LJ1" s="14">
        <f t="shared" si="5"/>
        <v>44883</v>
      </c>
      <c r="LK1" s="14">
        <f t="shared" si="5"/>
        <v>44884</v>
      </c>
      <c r="LL1" s="14">
        <f t="shared" si="5"/>
        <v>44885</v>
      </c>
      <c r="LM1" s="14">
        <f>LL1+1</f>
        <v>44886</v>
      </c>
      <c r="LN1" s="14">
        <f t="shared" ref="LN1:MZ1" si="6">LM1+1</f>
        <v>44887</v>
      </c>
      <c r="LO1" s="14">
        <f t="shared" si="6"/>
        <v>44888</v>
      </c>
      <c r="LP1" s="14">
        <f t="shared" si="6"/>
        <v>44889</v>
      </c>
      <c r="LQ1" s="14">
        <f t="shared" si="6"/>
        <v>44890</v>
      </c>
      <c r="LR1" s="14">
        <f t="shared" si="6"/>
        <v>44891</v>
      </c>
      <c r="LS1" s="14">
        <f t="shared" si="6"/>
        <v>44892</v>
      </c>
      <c r="LT1" s="14">
        <f t="shared" si="6"/>
        <v>44893</v>
      </c>
      <c r="LU1" s="14">
        <f t="shared" si="6"/>
        <v>44894</v>
      </c>
      <c r="LV1" s="14">
        <f t="shared" si="6"/>
        <v>44895</v>
      </c>
      <c r="LW1" s="14">
        <f t="shared" si="6"/>
        <v>44896</v>
      </c>
      <c r="LX1" s="14">
        <f t="shared" si="6"/>
        <v>44897</v>
      </c>
      <c r="LY1" s="14">
        <f t="shared" si="6"/>
        <v>44898</v>
      </c>
      <c r="LZ1" s="14">
        <f t="shared" si="6"/>
        <v>44899</v>
      </c>
      <c r="MA1" s="14">
        <f t="shared" si="6"/>
        <v>44900</v>
      </c>
      <c r="MB1" s="14">
        <f t="shared" si="6"/>
        <v>44901</v>
      </c>
      <c r="MC1" s="14">
        <f t="shared" si="6"/>
        <v>44902</v>
      </c>
      <c r="MD1" s="14">
        <f t="shared" si="6"/>
        <v>44903</v>
      </c>
      <c r="ME1" s="14">
        <f t="shared" si="6"/>
        <v>44904</v>
      </c>
      <c r="MF1" s="14">
        <f t="shared" si="6"/>
        <v>44905</v>
      </c>
      <c r="MG1" s="14">
        <f t="shared" si="6"/>
        <v>44906</v>
      </c>
      <c r="MH1" s="14">
        <f t="shared" si="6"/>
        <v>44907</v>
      </c>
      <c r="MI1" s="14">
        <f t="shared" si="6"/>
        <v>44908</v>
      </c>
      <c r="MJ1" s="14">
        <f t="shared" si="6"/>
        <v>44909</v>
      </c>
      <c r="MK1" s="14">
        <f t="shared" si="6"/>
        <v>44910</v>
      </c>
      <c r="ML1" s="14">
        <f t="shared" si="6"/>
        <v>44911</v>
      </c>
      <c r="MM1" s="14">
        <f t="shared" si="6"/>
        <v>44912</v>
      </c>
      <c r="MN1" s="14">
        <f t="shared" si="6"/>
        <v>44913</v>
      </c>
      <c r="MO1" s="14">
        <f t="shared" si="6"/>
        <v>44914</v>
      </c>
      <c r="MP1" s="14">
        <f t="shared" si="6"/>
        <v>44915</v>
      </c>
      <c r="MQ1" s="14">
        <f t="shared" si="6"/>
        <v>44916</v>
      </c>
      <c r="MR1" s="14">
        <f t="shared" si="6"/>
        <v>44917</v>
      </c>
      <c r="MS1" s="14">
        <f t="shared" si="6"/>
        <v>44918</v>
      </c>
      <c r="MT1" s="14">
        <f t="shared" si="6"/>
        <v>44919</v>
      </c>
      <c r="MU1" s="14">
        <f t="shared" si="6"/>
        <v>44920</v>
      </c>
      <c r="MV1" s="14">
        <f t="shared" si="6"/>
        <v>44921</v>
      </c>
      <c r="MW1" s="14">
        <f t="shared" si="6"/>
        <v>44922</v>
      </c>
      <c r="MX1" s="14">
        <f t="shared" si="6"/>
        <v>44923</v>
      </c>
      <c r="MY1" s="14">
        <f t="shared" si="6"/>
        <v>44924</v>
      </c>
      <c r="MZ1" s="14">
        <f t="shared" si="6"/>
        <v>44925</v>
      </c>
      <c r="NA1" s="14">
        <f>MZ1+1</f>
        <v>44926</v>
      </c>
      <c r="NB1" s="14" t="str">
        <f>IF(YEAR(NA1+1)=YEAR(NA1),NA1+1,"")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00BF1-256F-4DC3-B57F-DB99D1B01071}">
  <sheetPr codeName="Sheet1">
    <pageSetUpPr fitToPage="1"/>
  </sheetPr>
  <dimension ref="A1:BC134"/>
  <sheetViews>
    <sheetView showGridLines="0" tabSelected="1" zoomScale="50" zoomScaleNormal="50" workbookViewId="0">
      <pane xSplit="4" topLeftCell="E1" activePane="topRight" state="frozen"/>
      <selection pane="topRight" activeCell="BE5" sqref="BE5"/>
    </sheetView>
  </sheetViews>
  <sheetFormatPr defaultRowHeight="14.4"/>
  <cols>
    <col min="1" max="1" width="19.109375" hidden="1" customWidth="1"/>
    <col min="2" max="2" width="15.21875" style="13" hidden="1" customWidth="1"/>
    <col min="3" max="3" width="28" customWidth="1"/>
    <col min="4" max="4" width="31.33203125" customWidth="1"/>
    <col min="5" max="5" width="3.6640625" customWidth="1"/>
    <col min="6" max="12" width="4.6640625" customWidth="1"/>
    <col min="13" max="13" width="3.33203125" customWidth="1"/>
    <col min="14" max="20" width="4.6640625" customWidth="1"/>
    <col min="21" max="21" width="3.33203125" customWidth="1"/>
    <col min="22" max="28" width="4.6640625" customWidth="1"/>
    <col min="29" max="29" width="3.44140625" customWidth="1"/>
    <col min="30" max="35" width="22.21875" customWidth="1"/>
    <col min="36" max="36" width="21.21875" customWidth="1"/>
    <col min="37" max="37" width="3.44140625" customWidth="1"/>
    <col min="38" max="38" width="10.5546875" customWidth="1"/>
    <col min="39" max="39" width="40.5546875" bestFit="1" customWidth="1"/>
    <col min="40" max="40" width="3.33203125" customWidth="1"/>
    <col min="41" max="41" width="39.5546875" customWidth="1"/>
    <col min="42" max="42" width="3.44140625" customWidth="1"/>
    <col min="43" max="43" width="36.6640625" customWidth="1"/>
    <col min="44" max="44" width="3.21875" customWidth="1"/>
    <col min="45" max="45" width="9.44140625" customWidth="1"/>
    <col min="46" max="52" width="33" customWidth="1"/>
    <col min="53" max="53" width="4.21875" customWidth="1"/>
    <col min="54" max="54" width="10.77734375" customWidth="1"/>
    <col min="55" max="55" width="46.77734375" customWidth="1"/>
  </cols>
  <sheetData>
    <row r="1" spans="1:55" ht="14.4" customHeight="1">
      <c r="AD1" s="46"/>
    </row>
    <row r="2" spans="1:55" ht="18" customHeight="1">
      <c r="F2" s="63"/>
      <c r="G2" s="63"/>
      <c r="H2" s="63"/>
    </row>
    <row r="3" spans="1:55" ht="28.8">
      <c r="D3" s="60"/>
      <c r="AS3" s="50"/>
      <c r="AT3" s="94" t="str">
        <f>AD4</f>
        <v>December 2021</v>
      </c>
      <c r="AU3" s="95"/>
      <c r="AV3" s="95"/>
      <c r="AW3" s="95"/>
      <c r="AX3" s="95"/>
      <c r="AY3" s="95"/>
      <c r="AZ3" s="96"/>
    </row>
    <row r="4" spans="1:55" ht="28.8" customHeight="1">
      <c r="C4" s="62" t="s">
        <v>61</v>
      </c>
      <c r="D4" s="62" t="s">
        <v>62</v>
      </c>
      <c r="F4" s="89">
        <f>DATE(ScYear,1,1)</f>
        <v>44197</v>
      </c>
      <c r="G4" s="90"/>
      <c r="H4" s="90"/>
      <c r="I4" s="90"/>
      <c r="J4" s="90"/>
      <c r="K4" s="90"/>
      <c r="L4" s="91"/>
      <c r="N4" s="89">
        <f>DATE(ScYear,2,1)</f>
        <v>44228</v>
      </c>
      <c r="O4" s="90"/>
      <c r="P4" s="90"/>
      <c r="Q4" s="90"/>
      <c r="R4" s="90"/>
      <c r="S4" s="90"/>
      <c r="T4" s="91"/>
      <c r="V4" s="89">
        <f>DATE(ScYear,3,1)</f>
        <v>44256</v>
      </c>
      <c r="W4" s="90"/>
      <c r="X4" s="90"/>
      <c r="Y4" s="90"/>
      <c r="Z4" s="90"/>
      <c r="AA4" s="90"/>
      <c r="AB4" s="91"/>
      <c r="AD4" s="94" t="str">
        <f>INDEX(Months,SelMonth,1)&amp;" "&amp;ScYear</f>
        <v>December 2021</v>
      </c>
      <c r="AE4" s="95"/>
      <c r="AF4" s="95"/>
      <c r="AG4" s="95"/>
      <c r="AH4" s="95"/>
      <c r="AI4" s="95"/>
      <c r="AJ4" s="96"/>
      <c r="AL4" s="26" t="s">
        <v>22</v>
      </c>
      <c r="AM4" s="47" t="s">
        <v>63</v>
      </c>
      <c r="AO4" s="54" t="s">
        <v>56</v>
      </c>
      <c r="AP4" s="55"/>
      <c r="AQ4" s="54" t="s">
        <v>57</v>
      </c>
      <c r="AS4" s="50"/>
      <c r="AT4" s="50" t="s">
        <v>1</v>
      </c>
      <c r="AU4" s="50" t="s">
        <v>3</v>
      </c>
      <c r="AV4" s="50" t="s">
        <v>5</v>
      </c>
      <c r="AW4" s="50" t="s">
        <v>7</v>
      </c>
      <c r="AX4" s="50" t="s">
        <v>9</v>
      </c>
      <c r="AY4" s="50" t="s">
        <v>11</v>
      </c>
      <c r="AZ4" s="50" t="s">
        <v>13</v>
      </c>
      <c r="BB4" s="81" t="s">
        <v>22</v>
      </c>
      <c r="BC4" s="47" t="s">
        <v>63</v>
      </c>
    </row>
    <row r="5" spans="1:55" ht="18" customHeight="1">
      <c r="A5" s="31" t="s">
        <v>24</v>
      </c>
      <c r="B5" s="32">
        <v>0.33333333333333298</v>
      </c>
      <c r="F5" s="1" t="str">
        <f>INDEX(DayAbb,MATCH(StartDay,Days,0),1)</f>
        <v>Mo</v>
      </c>
      <c r="G5" s="2" t="str">
        <f>IF(MATCH(F5,DayAbb,0)=7,#REF!,INDEX(DayAbb,MATCH(F5,DayAbb,0)+1,1))</f>
        <v>Tu</v>
      </c>
      <c r="H5" s="2" t="str">
        <f>IF(MATCH(G5,DayAbb,0)=7,$AM$9,INDEX(DayAbb,MATCH(G5,DayAbb,0)+1,1))</f>
        <v>We</v>
      </c>
      <c r="I5" s="2" t="str">
        <f>IF(MATCH(H5,DayAbb,0)=7,$AM$9,INDEX(DayAbb,MATCH(H5,DayAbb,0)+1,1))</f>
        <v>Th</v>
      </c>
      <c r="J5" s="2" t="str">
        <f>IF(MATCH(I5,DayAbb,0)=7,$AM$9,INDEX(DayAbb,MATCH(I5,DayAbb,0)+1,1))</f>
        <v>Fr</v>
      </c>
      <c r="K5" s="2" t="str">
        <f>IF(MATCH(J5,DayAbb,0)=7,$AM$9,INDEX(DayAbb,MATCH(J5,DayAbb,0)+1,1))</f>
        <v>Sa</v>
      </c>
      <c r="L5" s="3" t="str">
        <f>IF(MATCH(K5,DayAbb,0)=7,$AM$9,INDEX(DayAbb,MATCH(K5,DayAbb,0)+1,1))</f>
        <v>Su</v>
      </c>
      <c r="N5" s="1" t="str">
        <f>INDEX(DayAbb,MATCH(StartDay,Days,0),1)</f>
        <v>Mo</v>
      </c>
      <c r="O5" s="2" t="str">
        <f t="shared" ref="O5:T5" si="0">IF(MATCH(N5,DayAbb,0)=7,$AM$9,INDEX(DayAbb,MATCH(N5,DayAbb,0)+1,1))</f>
        <v>Tu</v>
      </c>
      <c r="P5" s="2" t="str">
        <f t="shared" si="0"/>
        <v>We</v>
      </c>
      <c r="Q5" s="2" t="str">
        <f t="shared" si="0"/>
        <v>Th</v>
      </c>
      <c r="R5" s="2" t="str">
        <f t="shared" si="0"/>
        <v>Fr</v>
      </c>
      <c r="S5" s="2" t="str">
        <f t="shared" si="0"/>
        <v>Sa</v>
      </c>
      <c r="T5" s="3" t="str">
        <f t="shared" si="0"/>
        <v>Su</v>
      </c>
      <c r="V5" s="1" t="str">
        <f>INDEX(DayAbb,MATCH(StartDay,Days,0),1)</f>
        <v>Mo</v>
      </c>
      <c r="W5" s="2" t="str">
        <f t="shared" ref="W5:AB5" si="1">IF(MATCH(V5,DayAbb,0)=7,$AM$9,INDEX(DayAbb,MATCH(V5,DayAbb,0)+1,1))</f>
        <v>Tu</v>
      </c>
      <c r="X5" s="2" t="str">
        <f t="shared" si="1"/>
        <v>We</v>
      </c>
      <c r="Y5" s="2" t="str">
        <f t="shared" si="1"/>
        <v>Th</v>
      </c>
      <c r="Z5" s="2" t="str">
        <f t="shared" si="1"/>
        <v>Fr</v>
      </c>
      <c r="AA5" s="2" t="str">
        <f t="shared" si="1"/>
        <v>Sa</v>
      </c>
      <c r="AB5" s="3" t="str">
        <f t="shared" si="1"/>
        <v>Su</v>
      </c>
      <c r="AD5" s="38" t="str">
        <f>StartDay</f>
        <v>Monday</v>
      </c>
      <c r="AE5" s="38" t="str">
        <f t="shared" ref="AE5:AJ5" si="2">IF(AD5="Saturday","Sunday",INDEX(Days,MATCH(AD5,Days,0)+1,1))</f>
        <v>Tuesday</v>
      </c>
      <c r="AF5" s="38" t="str">
        <f t="shared" si="2"/>
        <v>Wednesday</v>
      </c>
      <c r="AG5" s="38" t="str">
        <f t="shared" si="2"/>
        <v>Thursday</v>
      </c>
      <c r="AH5" s="38" t="str">
        <f t="shared" si="2"/>
        <v>Friday</v>
      </c>
      <c r="AI5" s="38" t="str">
        <f t="shared" si="2"/>
        <v>Saturday</v>
      </c>
      <c r="AJ5" s="38" t="str">
        <f t="shared" si="2"/>
        <v>Sunday</v>
      </c>
      <c r="AL5" s="27" t="s">
        <v>23</v>
      </c>
      <c r="AM5" s="48">
        <f>selDate</f>
        <v>44531</v>
      </c>
      <c r="AO5" s="53"/>
      <c r="AQ5" s="53"/>
      <c r="AS5" s="27" t="s">
        <v>23</v>
      </c>
      <c r="AT5" s="49">
        <f>selDate+weekOffset-CHOOSE(WEEKDAY(selDate,2),0,1,2,3,4,5,6)</f>
        <v>44529</v>
      </c>
      <c r="AU5" s="49">
        <f t="shared" ref="AU5:AZ5" si="3">AT5+1</f>
        <v>44530</v>
      </c>
      <c r="AV5" s="49">
        <f t="shared" si="3"/>
        <v>44531</v>
      </c>
      <c r="AW5" s="49">
        <f t="shared" si="3"/>
        <v>44532</v>
      </c>
      <c r="AX5" s="49">
        <f t="shared" si="3"/>
        <v>44533</v>
      </c>
      <c r="AY5" s="49">
        <f t="shared" si="3"/>
        <v>44534</v>
      </c>
      <c r="AZ5" s="49">
        <f t="shared" si="3"/>
        <v>44535</v>
      </c>
      <c r="BB5" s="81" t="s">
        <v>23</v>
      </c>
      <c r="BC5" s="48">
        <f>selDate</f>
        <v>44531</v>
      </c>
    </row>
    <row r="6" spans="1:55" ht="19.8" customHeight="1">
      <c r="A6" s="31" t="s">
        <v>25</v>
      </c>
      <c r="B6" s="33">
        <v>2.0833333333333332E-2</v>
      </c>
      <c r="F6" s="4" t="str">
        <f>IF(WEEKDAY(F4,2)=StartDayNumb,F4,"")</f>
        <v/>
      </c>
      <c r="G6" s="5" t="str">
        <f>IF(F6&lt;&gt;"",F6+1,IF(WEEKDAY(F4,2)=MOD(StartDayNumb,7)+1,F4,""))</f>
        <v/>
      </c>
      <c r="H6" s="5" t="str">
        <f>IF(G6&lt;&gt;"",G6+1,IF(WEEKDAY(F4,2)=MOD(StartDayNumb+1,7)+1,F4,""))</f>
        <v/>
      </c>
      <c r="I6" s="5" t="str">
        <f>IF(H6&lt;&gt;"",H6+1,IF(WEEKDAY(F4,2)=MOD(StartDayNumb+2,7)+1,F4,""))</f>
        <v/>
      </c>
      <c r="J6" s="5">
        <f>IF(I6&lt;&gt;"",I6+1,IF(WEEKDAY(F4,2)=MOD(StartDayNumb+3,7)+1,F4,""))</f>
        <v>44197</v>
      </c>
      <c r="K6" s="5">
        <f>IF(J6&lt;&gt;"",J6+1,IF(WEEKDAY(F4,2)=MOD(StartDayNumb+4,7)+1,F4,""))</f>
        <v>44198</v>
      </c>
      <c r="L6" s="6">
        <f>IF(K6&lt;&gt;"",K6+1,IF(WEEKDAY(F4,2)=MOD(StartDayNumb+5,7)+1,F4,""))</f>
        <v>44199</v>
      </c>
      <c r="N6" s="4">
        <f>IF(WEEKDAY(N4,2)=StartDayNumb,N4,"")</f>
        <v>44228</v>
      </c>
      <c r="O6" s="5">
        <f>IF(N6&lt;&gt;"",N6+1,IF(WEEKDAY(N4,2)=MOD(StartDayNumb,7)+1,N4,""))</f>
        <v>44229</v>
      </c>
      <c r="P6" s="5">
        <f>IF(O6&lt;&gt;"",O6+1,IF(WEEKDAY(N4,2)=MOD(StartDayNumb+1,7)+1,N4,""))</f>
        <v>44230</v>
      </c>
      <c r="Q6" s="5">
        <f>IF(P6&lt;&gt;"",P6+1,IF(WEEKDAY(N4,2)=MOD(StartDayNumb+2,7)+1,N4,""))</f>
        <v>44231</v>
      </c>
      <c r="R6" s="5">
        <f>IF(Q6&lt;&gt;"",Q6+1,IF(WEEKDAY(N4,2)=MOD(StartDayNumb+3,7)+1,N4,""))</f>
        <v>44232</v>
      </c>
      <c r="S6" s="5">
        <f>IF(R6&lt;&gt;"",R6+1,IF(WEEKDAY(N4,2)=MOD(StartDayNumb+4,7)+1,N4,""))</f>
        <v>44233</v>
      </c>
      <c r="T6" s="6">
        <f>IF(S6&lt;&gt;"",S6+1,IF(WEEKDAY(N4,2)=MOD(StartDayNumb+5,7)+1,N4,""))</f>
        <v>44234</v>
      </c>
      <c r="V6" s="4">
        <f>IF(WEEKDAY(V4,2)=StartDayNumb,V4,"")</f>
        <v>44256</v>
      </c>
      <c r="W6" s="5">
        <f>IF(V6&lt;&gt;"",V6+1,IF(WEEKDAY(V4,2)=MOD(StartDayNumb,7)+1,V4,""))</f>
        <v>44257</v>
      </c>
      <c r="X6" s="5">
        <f>IF(W6&lt;&gt;"",W6+1,IF(WEEKDAY(V4,2)=MOD(StartDayNumb+1,7)+1,V4,""))</f>
        <v>44258</v>
      </c>
      <c r="Y6" s="5">
        <f>IF(X6&lt;&gt;"",X6+1,IF(WEEKDAY(V4,2)=MOD(StartDayNumb+2,7)+1,V4,""))</f>
        <v>44259</v>
      </c>
      <c r="Z6" s="5">
        <f>IF(Y6&lt;&gt;"",Y6+1,IF(WEEKDAY(V4,2)=MOD(StartDayNumb+3,7)+1,V4,""))</f>
        <v>44260</v>
      </c>
      <c r="AA6" s="5">
        <f>IF(Z6&lt;&gt;"",Z6+1,IF(WEEKDAY(V4,2)=MOD(StartDayNumb+4,7)+1,V4,""))</f>
        <v>44261</v>
      </c>
      <c r="AB6" s="6">
        <f>IF(AA6&lt;&gt;"",AA6+1,IF(WEEKDAY(V4,2)=MOD(StartDayNumb+5,7)+1,V4,""))</f>
        <v>44262</v>
      </c>
      <c r="AD6" s="39" t="str">
        <f>IF(WEEKDAY(DATE(ScYear,SelMonth,1),1)=AD43,DATE(ScYear,SelMonth,1),"")</f>
        <v/>
      </c>
      <c r="AE6" s="39" t="str">
        <f t="shared" ref="AE6:AJ6" si="4">IF(AD6&lt;&gt;"",AD6+1,IF(WEEKDAY(DATE(ScYear,SelMonth,1),1)=AE43,DATE(ScYear,SelMonth,1),""))</f>
        <v/>
      </c>
      <c r="AF6" s="39">
        <f t="shared" si="4"/>
        <v>44531</v>
      </c>
      <c r="AG6" s="39">
        <f t="shared" si="4"/>
        <v>44532</v>
      </c>
      <c r="AH6" s="39">
        <f t="shared" si="4"/>
        <v>44533</v>
      </c>
      <c r="AI6" s="39">
        <f t="shared" si="4"/>
        <v>44534</v>
      </c>
      <c r="AJ6" s="39">
        <f t="shared" si="4"/>
        <v>44535</v>
      </c>
      <c r="AL6" s="28">
        <f>StartTime</f>
        <v>0.33333333333333298</v>
      </c>
      <c r="AM6" s="29"/>
      <c r="AO6" s="29"/>
      <c r="AQ6" s="29"/>
      <c r="AS6" s="28">
        <f>AL6</f>
        <v>0.33333333333333298</v>
      </c>
      <c r="AT6" s="51"/>
      <c r="AU6" s="51"/>
      <c r="AV6" s="51"/>
      <c r="AW6" s="51"/>
      <c r="AX6" s="51"/>
      <c r="AY6" s="51"/>
      <c r="AZ6" s="51"/>
      <c r="BB6" s="28">
        <f>StartTime</f>
        <v>0.33333333333333298</v>
      </c>
      <c r="BC6" s="29"/>
    </row>
    <row r="7" spans="1:55" ht="19.8" customHeight="1">
      <c r="A7" s="31" t="s">
        <v>26</v>
      </c>
      <c r="B7" s="13">
        <v>2021</v>
      </c>
      <c r="D7" s="78" t="s">
        <v>97</v>
      </c>
      <c r="F7" s="7">
        <f>IF(L6="","",IF(MONTH(L6)&lt;&gt;MONTH(L6+1),"",L6+1))</f>
        <v>44200</v>
      </c>
      <c r="G7" s="8">
        <f t="shared" ref="G7:L7" si="5">IF(F7="","",IF(MONTH(F7)&lt;&gt;MONTH(F7+1),"",F7+1))</f>
        <v>44201</v>
      </c>
      <c r="H7" s="8">
        <f t="shared" si="5"/>
        <v>44202</v>
      </c>
      <c r="I7" s="8">
        <f t="shared" si="5"/>
        <v>44203</v>
      </c>
      <c r="J7" s="8">
        <f t="shared" si="5"/>
        <v>44204</v>
      </c>
      <c r="K7" s="8">
        <f t="shared" si="5"/>
        <v>44205</v>
      </c>
      <c r="L7" s="9">
        <f t="shared" si="5"/>
        <v>44206</v>
      </c>
      <c r="N7" s="7">
        <f>IF(T6="","",IF(MONTH(T6)&lt;&gt;MONTH(T6+1),"",T6+1))</f>
        <v>44235</v>
      </c>
      <c r="O7" s="8">
        <f t="shared" ref="O7:T7" si="6">IF(N7="","",IF(MONTH(N7)&lt;&gt;MONTH(N7+1),"",N7+1))</f>
        <v>44236</v>
      </c>
      <c r="P7" s="8">
        <f t="shared" si="6"/>
        <v>44237</v>
      </c>
      <c r="Q7" s="8">
        <f t="shared" si="6"/>
        <v>44238</v>
      </c>
      <c r="R7" s="8">
        <f t="shared" si="6"/>
        <v>44239</v>
      </c>
      <c r="S7" s="8">
        <f t="shared" si="6"/>
        <v>44240</v>
      </c>
      <c r="T7" s="9">
        <f t="shared" si="6"/>
        <v>44241</v>
      </c>
      <c r="V7" s="7">
        <f>IF(AB6="","",IF(MONTH(AB6)&lt;&gt;MONTH(AB6+1),"",AB6+1))</f>
        <v>44263</v>
      </c>
      <c r="W7" s="8">
        <f t="shared" ref="W7:AB7" si="7">IF(V7="","",IF(MONTH(V7)&lt;&gt;MONTH(V7+1),"",V7+1))</f>
        <v>44264</v>
      </c>
      <c r="X7" s="8">
        <f t="shared" si="7"/>
        <v>44265</v>
      </c>
      <c r="Y7" s="8">
        <f t="shared" si="7"/>
        <v>44266</v>
      </c>
      <c r="Z7" s="8">
        <f t="shared" si="7"/>
        <v>44267</v>
      </c>
      <c r="AA7" s="8">
        <f t="shared" si="7"/>
        <v>44268</v>
      </c>
      <c r="AB7" s="9">
        <f t="shared" si="7"/>
        <v>44269</v>
      </c>
      <c r="AD7" s="86"/>
      <c r="AE7" s="92"/>
      <c r="AF7" s="86"/>
      <c r="AG7" s="86"/>
      <c r="AH7" s="86"/>
      <c r="AI7" s="86"/>
      <c r="AJ7" s="86"/>
      <c r="AL7" s="28">
        <f t="shared" ref="AL7:AL40" si="8">AL6+Interval</f>
        <v>0.3541666666666663</v>
      </c>
      <c r="AM7" s="29"/>
      <c r="AO7" s="29"/>
      <c r="AQ7" s="29"/>
      <c r="AS7" s="28">
        <f t="shared" ref="AS7:AS42" si="9">AL7</f>
        <v>0.3541666666666663</v>
      </c>
      <c r="AT7" s="51"/>
      <c r="AU7" s="51"/>
      <c r="AV7" s="51"/>
      <c r="AW7" s="51"/>
      <c r="AX7" s="51"/>
      <c r="AY7" s="51"/>
      <c r="AZ7" s="51"/>
      <c r="BB7" s="28">
        <f t="shared" ref="BB7:BB40" si="10">BB6+Interval</f>
        <v>0.3541666666666663</v>
      </c>
      <c r="BC7" s="29"/>
    </row>
    <row r="8" spans="1:55" ht="19.8" customHeight="1">
      <c r="A8" s="31" t="s">
        <v>27</v>
      </c>
      <c r="B8" s="34" t="s">
        <v>28</v>
      </c>
      <c r="D8" s="80" t="s">
        <v>92</v>
      </c>
      <c r="F8" s="7">
        <f>IF(L7="","",IF(MONTH(L7)&lt;&gt;MONTH(L7+1),"",L7+1))</f>
        <v>44207</v>
      </c>
      <c r="G8" s="8">
        <f t="shared" ref="G8:L11" si="11">IF(F8="","",IF(MONTH(F8)&lt;&gt;MONTH(F8+1),"",F8+1))</f>
        <v>44208</v>
      </c>
      <c r="H8" s="8">
        <f t="shared" si="11"/>
        <v>44209</v>
      </c>
      <c r="I8" s="8">
        <f t="shared" si="11"/>
        <v>44210</v>
      </c>
      <c r="J8" s="8">
        <f t="shared" si="11"/>
        <v>44211</v>
      </c>
      <c r="K8" s="8">
        <f t="shared" si="11"/>
        <v>44212</v>
      </c>
      <c r="L8" s="9">
        <f t="shared" si="11"/>
        <v>44213</v>
      </c>
      <c r="N8" s="7">
        <f>IF(T7="","",IF(MONTH(T7)&lt;&gt;MONTH(T7+1),"",T7+1))</f>
        <v>44242</v>
      </c>
      <c r="O8" s="8">
        <f t="shared" ref="O8:T11" si="12">IF(N8="","",IF(MONTH(N8)&lt;&gt;MONTH(N8+1),"",N8+1))</f>
        <v>44243</v>
      </c>
      <c r="P8" s="8">
        <f t="shared" si="12"/>
        <v>44244</v>
      </c>
      <c r="Q8" s="8">
        <f t="shared" si="12"/>
        <v>44245</v>
      </c>
      <c r="R8" s="8">
        <f t="shared" si="12"/>
        <v>44246</v>
      </c>
      <c r="S8" s="8">
        <f t="shared" si="12"/>
        <v>44247</v>
      </c>
      <c r="T8" s="9">
        <f t="shared" si="12"/>
        <v>44248</v>
      </c>
      <c r="V8" s="7">
        <f>IF(AB7="","",IF(MONTH(AB7)&lt;&gt;MONTH(AB7+1),"",AB7+1))</f>
        <v>44270</v>
      </c>
      <c r="W8" s="8">
        <f t="shared" ref="W8:AB11" si="13">IF(V8="","",IF(MONTH(V8)&lt;&gt;MONTH(V8+1),"",V8+1))</f>
        <v>44271</v>
      </c>
      <c r="X8" s="8">
        <f t="shared" si="13"/>
        <v>44272</v>
      </c>
      <c r="Y8" s="8">
        <f t="shared" si="13"/>
        <v>44273</v>
      </c>
      <c r="Z8" s="8">
        <f t="shared" si="13"/>
        <v>44274</v>
      </c>
      <c r="AA8" s="8">
        <f t="shared" si="13"/>
        <v>44275</v>
      </c>
      <c r="AB8" s="9">
        <f t="shared" si="13"/>
        <v>44276</v>
      </c>
      <c r="AD8" s="87"/>
      <c r="AE8" s="87"/>
      <c r="AF8" s="87"/>
      <c r="AG8" s="87"/>
      <c r="AH8" s="87"/>
      <c r="AI8" s="87"/>
      <c r="AJ8" s="87"/>
      <c r="AL8" s="28">
        <f t="shared" si="8"/>
        <v>0.37499999999999961</v>
      </c>
      <c r="AM8" s="29"/>
      <c r="AO8" s="29"/>
      <c r="AQ8" s="29"/>
      <c r="AS8" s="28">
        <f t="shared" si="9"/>
        <v>0.37499999999999961</v>
      </c>
      <c r="AT8" s="51"/>
      <c r="AU8" s="51"/>
      <c r="AV8" s="51"/>
      <c r="AW8" s="51"/>
      <c r="AX8" s="51"/>
      <c r="AY8" s="51"/>
      <c r="AZ8" s="51"/>
      <c r="BB8" s="28">
        <f t="shared" si="10"/>
        <v>0.37499999999999961</v>
      </c>
      <c r="BC8" s="29"/>
    </row>
    <row r="9" spans="1:55" ht="19.8" customHeight="1">
      <c r="A9" s="31" t="s">
        <v>29</v>
      </c>
      <c r="B9" s="34" t="s">
        <v>28</v>
      </c>
      <c r="C9" s="78" t="s">
        <v>88</v>
      </c>
      <c r="D9" s="79" t="s">
        <v>90</v>
      </c>
      <c r="F9" s="7">
        <f>IF(L8="","",IF(MONTH(L8)&lt;&gt;MONTH(L8+1),"",L8+1))</f>
        <v>44214</v>
      </c>
      <c r="G9" s="8">
        <f t="shared" si="11"/>
        <v>44215</v>
      </c>
      <c r="H9" s="8">
        <f t="shared" si="11"/>
        <v>44216</v>
      </c>
      <c r="I9" s="8">
        <f t="shared" si="11"/>
        <v>44217</v>
      </c>
      <c r="J9" s="8">
        <f t="shared" si="11"/>
        <v>44218</v>
      </c>
      <c r="K9" s="8">
        <f t="shared" si="11"/>
        <v>44219</v>
      </c>
      <c r="L9" s="9">
        <f t="shared" si="11"/>
        <v>44220</v>
      </c>
      <c r="N9" s="7">
        <f>IF(T8="","",IF(MONTH(T8)&lt;&gt;MONTH(T8+1),"",T8+1))</f>
        <v>44249</v>
      </c>
      <c r="O9" s="8">
        <f t="shared" si="12"/>
        <v>44250</v>
      </c>
      <c r="P9" s="8">
        <f t="shared" si="12"/>
        <v>44251</v>
      </c>
      <c r="Q9" s="8">
        <f t="shared" si="12"/>
        <v>44252</v>
      </c>
      <c r="R9" s="8">
        <f t="shared" si="12"/>
        <v>44253</v>
      </c>
      <c r="S9" s="8">
        <f t="shared" si="12"/>
        <v>44254</v>
      </c>
      <c r="T9" s="9">
        <f t="shared" si="12"/>
        <v>44255</v>
      </c>
      <c r="V9" s="7">
        <f>IF(AB8="","",IF(MONTH(AB8)&lt;&gt;MONTH(AB8+1),"",AB8+1))</f>
        <v>44277</v>
      </c>
      <c r="W9" s="8">
        <f t="shared" si="13"/>
        <v>44278</v>
      </c>
      <c r="X9" s="8">
        <f t="shared" si="13"/>
        <v>44279</v>
      </c>
      <c r="Y9" s="8">
        <f t="shared" si="13"/>
        <v>44280</v>
      </c>
      <c r="Z9" s="8">
        <f t="shared" si="13"/>
        <v>44281</v>
      </c>
      <c r="AA9" s="8">
        <f t="shared" si="13"/>
        <v>44282</v>
      </c>
      <c r="AB9" s="9">
        <f t="shared" si="13"/>
        <v>44283</v>
      </c>
      <c r="AD9" s="87"/>
      <c r="AE9" s="87"/>
      <c r="AF9" s="87"/>
      <c r="AG9" s="87"/>
      <c r="AH9" s="87"/>
      <c r="AI9" s="87"/>
      <c r="AJ9" s="87"/>
      <c r="AL9" s="28">
        <f t="shared" si="8"/>
        <v>0.39583333333333293</v>
      </c>
      <c r="AM9" s="29"/>
      <c r="AO9" s="29"/>
      <c r="AQ9" s="29"/>
      <c r="AS9" s="28">
        <f t="shared" si="9"/>
        <v>0.39583333333333293</v>
      </c>
      <c r="AT9" s="51"/>
      <c r="AU9" s="51"/>
      <c r="AV9" s="51"/>
      <c r="AW9" s="51"/>
      <c r="AX9" s="51"/>
      <c r="AY9" s="51"/>
      <c r="AZ9" s="51"/>
      <c r="BB9" s="28">
        <f t="shared" si="10"/>
        <v>0.39583333333333293</v>
      </c>
      <c r="BC9" s="29"/>
    </row>
    <row r="10" spans="1:55" ht="19.8" customHeight="1">
      <c r="A10" s="31" t="s">
        <v>30</v>
      </c>
      <c r="B10" s="34">
        <v>90</v>
      </c>
      <c r="D10" s="80" t="s">
        <v>91</v>
      </c>
      <c r="F10" s="7">
        <f>IF(L9="","",IF(MONTH(L9)&lt;&gt;MONTH(L9+1),"",L9+1))</f>
        <v>44221</v>
      </c>
      <c r="G10" s="8">
        <f t="shared" si="11"/>
        <v>44222</v>
      </c>
      <c r="H10" s="8">
        <f t="shared" si="11"/>
        <v>44223</v>
      </c>
      <c r="I10" s="8">
        <f t="shared" si="11"/>
        <v>44224</v>
      </c>
      <c r="J10" s="8">
        <f t="shared" si="11"/>
        <v>44225</v>
      </c>
      <c r="K10" s="8">
        <f t="shared" si="11"/>
        <v>44226</v>
      </c>
      <c r="L10" s="9">
        <f t="shared" si="11"/>
        <v>44227</v>
      </c>
      <c r="N10" s="7" t="str">
        <f>IF(T9="","",IF(MONTH(T9)&lt;&gt;MONTH(T9+1),"",T9+1))</f>
        <v/>
      </c>
      <c r="O10" s="8" t="str">
        <f t="shared" si="12"/>
        <v/>
      </c>
      <c r="P10" s="8" t="str">
        <f t="shared" si="12"/>
        <v/>
      </c>
      <c r="Q10" s="8" t="str">
        <f t="shared" si="12"/>
        <v/>
      </c>
      <c r="R10" s="8" t="str">
        <f t="shared" si="12"/>
        <v/>
      </c>
      <c r="S10" s="8" t="str">
        <f t="shared" si="12"/>
        <v/>
      </c>
      <c r="T10" s="9" t="str">
        <f t="shared" si="12"/>
        <v/>
      </c>
      <c r="V10" s="7">
        <f>IF(AB9="","",IF(MONTH(AB9)&lt;&gt;MONTH(AB9+1),"",AB9+1))</f>
        <v>44284</v>
      </c>
      <c r="W10" s="8">
        <f t="shared" si="13"/>
        <v>44285</v>
      </c>
      <c r="X10" s="8">
        <f t="shared" si="13"/>
        <v>44286</v>
      </c>
      <c r="Y10" s="8" t="str">
        <f t="shared" si="13"/>
        <v/>
      </c>
      <c r="Z10" s="8" t="str">
        <f t="shared" si="13"/>
        <v/>
      </c>
      <c r="AA10" s="8" t="str">
        <f t="shared" si="13"/>
        <v/>
      </c>
      <c r="AB10" s="9" t="str">
        <f t="shared" si="13"/>
        <v/>
      </c>
      <c r="AD10" s="87"/>
      <c r="AE10" s="87"/>
      <c r="AF10" s="87"/>
      <c r="AG10" s="87"/>
      <c r="AH10" s="87"/>
      <c r="AI10" s="87"/>
      <c r="AJ10" s="87"/>
      <c r="AL10" s="28">
        <f t="shared" si="8"/>
        <v>0.41666666666666624</v>
      </c>
      <c r="AM10" s="29"/>
      <c r="AO10" s="29"/>
      <c r="AQ10" s="29"/>
      <c r="AS10" s="28">
        <f t="shared" si="9"/>
        <v>0.41666666666666624</v>
      </c>
      <c r="AT10" s="51"/>
      <c r="AU10" s="51"/>
      <c r="AV10" s="51"/>
      <c r="AW10" s="51"/>
      <c r="AX10" s="51"/>
      <c r="AY10" s="51"/>
      <c r="AZ10" s="51"/>
      <c r="BB10" s="28">
        <f t="shared" si="10"/>
        <v>0.41666666666666624</v>
      </c>
      <c r="BC10" s="29"/>
    </row>
    <row r="11" spans="1:55" ht="19.8" customHeight="1">
      <c r="D11" s="79" t="s">
        <v>93</v>
      </c>
      <c r="F11" s="10" t="str">
        <f>IF(L10="","",IF(MONTH(L10)&lt;&gt;MONTH(L10+1),"",L10+1))</f>
        <v/>
      </c>
      <c r="G11" s="11" t="str">
        <f t="shared" si="11"/>
        <v/>
      </c>
      <c r="H11" s="11" t="str">
        <f t="shared" si="11"/>
        <v/>
      </c>
      <c r="I11" s="11" t="str">
        <f t="shared" si="11"/>
        <v/>
      </c>
      <c r="J11" s="11" t="str">
        <f t="shared" si="11"/>
        <v/>
      </c>
      <c r="K11" s="11" t="str">
        <f t="shared" si="11"/>
        <v/>
      </c>
      <c r="L11" s="12" t="str">
        <f t="shared" si="11"/>
        <v/>
      </c>
      <c r="N11" s="10" t="str">
        <f>IF(T10="","",IF(MONTH(T10)&lt;&gt;MONTH(T10+1),"",T10+1))</f>
        <v/>
      </c>
      <c r="O11" s="11" t="str">
        <f t="shared" si="12"/>
        <v/>
      </c>
      <c r="P11" s="11" t="str">
        <f t="shared" si="12"/>
        <v/>
      </c>
      <c r="Q11" s="11" t="str">
        <f t="shared" si="12"/>
        <v/>
      </c>
      <c r="R11" s="11" t="str">
        <f t="shared" si="12"/>
        <v/>
      </c>
      <c r="S11" s="11" t="str">
        <f t="shared" si="12"/>
        <v/>
      </c>
      <c r="T11" s="12" t="str">
        <f t="shared" si="12"/>
        <v/>
      </c>
      <c r="V11" s="10" t="str">
        <f>IF(AB10="","",IF(MONTH(AB10)&lt;&gt;MONTH(AB10+1),"",AB10+1))</f>
        <v/>
      </c>
      <c r="W11" s="11" t="str">
        <f t="shared" si="13"/>
        <v/>
      </c>
      <c r="X11" s="11" t="str">
        <f t="shared" si="13"/>
        <v/>
      </c>
      <c r="Y11" s="11" t="str">
        <f t="shared" si="13"/>
        <v/>
      </c>
      <c r="Z11" s="11" t="str">
        <f t="shared" si="13"/>
        <v/>
      </c>
      <c r="AA11" s="11" t="str">
        <f t="shared" si="13"/>
        <v/>
      </c>
      <c r="AB11" s="12" t="str">
        <f t="shared" si="13"/>
        <v/>
      </c>
      <c r="AD11" s="88"/>
      <c r="AE11" s="88"/>
      <c r="AF11" s="88"/>
      <c r="AG11" s="88"/>
      <c r="AH11" s="88"/>
      <c r="AI11" s="88"/>
      <c r="AJ11" s="88"/>
      <c r="AL11" s="28">
        <f t="shared" si="8"/>
        <v>0.43749999999999956</v>
      </c>
      <c r="AM11" s="29"/>
      <c r="AO11" s="29"/>
      <c r="AQ11" s="29"/>
      <c r="AS11" s="28">
        <f t="shared" si="9"/>
        <v>0.43749999999999956</v>
      </c>
      <c r="AT11" s="51"/>
      <c r="AU11" s="51"/>
      <c r="AV11" s="51"/>
      <c r="AW11" s="51"/>
      <c r="AX11" s="51"/>
      <c r="AY11" s="51"/>
      <c r="AZ11" s="51"/>
      <c r="BB11" s="28">
        <f t="shared" si="10"/>
        <v>0.43749999999999956</v>
      </c>
      <c r="BC11" s="29"/>
    </row>
    <row r="12" spans="1:55" ht="19.8" customHeight="1">
      <c r="A12" s="37" t="s">
        <v>49</v>
      </c>
      <c r="B12" s="71">
        <v>12</v>
      </c>
      <c r="D12" s="80" t="s">
        <v>63</v>
      </c>
      <c r="AD12" s="39">
        <f>AJ6+1</f>
        <v>44536</v>
      </c>
      <c r="AE12" s="39">
        <f t="shared" ref="AE12:AJ12" si="14">AD12+1</f>
        <v>44537</v>
      </c>
      <c r="AF12" s="39">
        <f t="shared" si="14"/>
        <v>44538</v>
      </c>
      <c r="AG12" s="39">
        <f t="shared" si="14"/>
        <v>44539</v>
      </c>
      <c r="AH12" s="39">
        <f t="shared" si="14"/>
        <v>44540</v>
      </c>
      <c r="AI12" s="39">
        <f t="shared" si="14"/>
        <v>44541</v>
      </c>
      <c r="AJ12" s="39">
        <f t="shared" si="14"/>
        <v>44542</v>
      </c>
      <c r="AL12" s="28">
        <f t="shared" si="8"/>
        <v>0.45833333333333287</v>
      </c>
      <c r="AM12" s="29"/>
      <c r="AO12" s="29"/>
      <c r="AQ12" s="29"/>
      <c r="AS12" s="28">
        <f t="shared" si="9"/>
        <v>0.45833333333333287</v>
      </c>
      <c r="AT12" s="51"/>
      <c r="AU12" s="51"/>
      <c r="AV12" s="51"/>
      <c r="AW12" s="51"/>
      <c r="AX12" s="51"/>
      <c r="AY12" s="51"/>
      <c r="AZ12" s="51"/>
      <c r="BB12" s="28">
        <f t="shared" si="10"/>
        <v>0.45833333333333287</v>
      </c>
      <c r="BC12" s="29"/>
    </row>
    <row r="13" spans="1:55" ht="19.8" customHeight="1">
      <c r="A13" s="37" t="s">
        <v>34</v>
      </c>
      <c r="B13" s="72">
        <v>44531</v>
      </c>
      <c r="D13" s="79" t="s">
        <v>95</v>
      </c>
      <c r="F13" s="89">
        <f>DATE(ScYear,4,1)</f>
        <v>44287</v>
      </c>
      <c r="G13" s="90"/>
      <c r="H13" s="90"/>
      <c r="I13" s="90"/>
      <c r="J13" s="90"/>
      <c r="K13" s="90"/>
      <c r="L13" s="91"/>
      <c r="N13" s="89">
        <f>DATE(ScYear,5,1)</f>
        <v>44317</v>
      </c>
      <c r="O13" s="90"/>
      <c r="P13" s="90"/>
      <c r="Q13" s="90"/>
      <c r="R13" s="90"/>
      <c r="S13" s="90"/>
      <c r="T13" s="91"/>
      <c r="V13" s="89">
        <f>DATE(ScYear,6,1)</f>
        <v>44348</v>
      </c>
      <c r="W13" s="90"/>
      <c r="X13" s="90"/>
      <c r="Y13" s="90"/>
      <c r="Z13" s="90"/>
      <c r="AA13" s="90"/>
      <c r="AB13" s="91"/>
      <c r="AD13" s="86"/>
      <c r="AE13" s="86"/>
      <c r="AF13" s="86"/>
      <c r="AG13" s="86"/>
      <c r="AH13" s="86"/>
      <c r="AI13" s="86"/>
      <c r="AJ13" s="86"/>
      <c r="AL13" s="28">
        <f t="shared" si="8"/>
        <v>0.47916666666666619</v>
      </c>
      <c r="AM13" s="29"/>
      <c r="AO13" s="29"/>
      <c r="AQ13" s="29"/>
      <c r="AS13" s="28">
        <f t="shared" si="9"/>
        <v>0.47916666666666619</v>
      </c>
      <c r="AT13" s="51"/>
      <c r="AU13" s="51"/>
      <c r="AV13" s="51"/>
      <c r="AW13" s="51"/>
      <c r="AX13" s="51"/>
      <c r="AY13" s="51"/>
      <c r="AZ13" s="51"/>
      <c r="BB13" s="28">
        <f t="shared" si="10"/>
        <v>0.47916666666666619</v>
      </c>
      <c r="BC13" s="29"/>
    </row>
    <row r="14" spans="1:55" ht="19.8" customHeight="1">
      <c r="B14" s="70"/>
      <c r="D14" s="80" t="s">
        <v>92</v>
      </c>
      <c r="F14" s="1" t="str">
        <f>INDEX(DayAbb,MATCH(StartDay,Days,0),1)</f>
        <v>Mo</v>
      </c>
      <c r="G14" s="2" t="str">
        <f t="shared" ref="G14:L14" si="15">IF(MATCH(F14,DayAbb,0)=7,$AM$9,INDEX(DayAbb,MATCH(F14,DayAbb,0)+1,1))</f>
        <v>Tu</v>
      </c>
      <c r="H14" s="2" t="str">
        <f t="shared" si="15"/>
        <v>We</v>
      </c>
      <c r="I14" s="2" t="str">
        <f t="shared" si="15"/>
        <v>Th</v>
      </c>
      <c r="J14" s="2" t="str">
        <f t="shared" si="15"/>
        <v>Fr</v>
      </c>
      <c r="K14" s="2" t="str">
        <f t="shared" si="15"/>
        <v>Sa</v>
      </c>
      <c r="L14" s="3" t="str">
        <f t="shared" si="15"/>
        <v>Su</v>
      </c>
      <c r="N14" s="1" t="str">
        <f>INDEX(DayAbb,MATCH(StartDay,Days,0),1)</f>
        <v>Mo</v>
      </c>
      <c r="O14" s="2" t="str">
        <f t="shared" ref="O14:T14" si="16">IF(MATCH(N14,DayAbb,0)=7,$AM$9,INDEX(DayAbb,MATCH(N14,DayAbb,0)+1,1))</f>
        <v>Tu</v>
      </c>
      <c r="P14" s="2" t="str">
        <f t="shared" si="16"/>
        <v>We</v>
      </c>
      <c r="Q14" s="2" t="str">
        <f t="shared" si="16"/>
        <v>Th</v>
      </c>
      <c r="R14" s="2" t="str">
        <f t="shared" si="16"/>
        <v>Fr</v>
      </c>
      <c r="S14" s="2" t="str">
        <f t="shared" si="16"/>
        <v>Sa</v>
      </c>
      <c r="T14" s="3" t="str">
        <f t="shared" si="16"/>
        <v>Su</v>
      </c>
      <c r="V14" s="1" t="str">
        <f>INDEX(DayAbb,MATCH(StartDay,Days,0),1)</f>
        <v>Mo</v>
      </c>
      <c r="W14" s="2" t="str">
        <f t="shared" ref="W14:AB14" si="17">IF(MATCH(V14,DayAbb,0)=7,$AM$9,INDEX(DayAbb,MATCH(V14,DayAbb,0)+1,1))</f>
        <v>Tu</v>
      </c>
      <c r="X14" s="2" t="str">
        <f t="shared" si="17"/>
        <v>We</v>
      </c>
      <c r="Y14" s="2" t="str">
        <f t="shared" si="17"/>
        <v>Th</v>
      </c>
      <c r="Z14" s="2" t="str">
        <f t="shared" si="17"/>
        <v>Fr</v>
      </c>
      <c r="AA14" s="2" t="str">
        <f t="shared" si="17"/>
        <v>Sa</v>
      </c>
      <c r="AB14" s="3" t="str">
        <f t="shared" si="17"/>
        <v>Su</v>
      </c>
      <c r="AD14" s="87"/>
      <c r="AE14" s="87"/>
      <c r="AF14" s="87"/>
      <c r="AG14" s="87"/>
      <c r="AH14" s="87"/>
      <c r="AI14" s="87"/>
      <c r="AJ14" s="87"/>
      <c r="AL14" s="28">
        <f t="shared" si="8"/>
        <v>0.4999999999999995</v>
      </c>
      <c r="AM14" s="29"/>
      <c r="AO14" s="29"/>
      <c r="AQ14" s="29"/>
      <c r="AS14" s="28">
        <f t="shared" si="9"/>
        <v>0.4999999999999995</v>
      </c>
      <c r="AT14" s="51"/>
      <c r="AU14" s="51"/>
      <c r="AV14" s="51"/>
      <c r="AW14" s="51"/>
      <c r="AX14" s="51"/>
      <c r="AY14" s="51"/>
      <c r="AZ14" s="51"/>
      <c r="BB14" s="28">
        <f t="shared" si="10"/>
        <v>0.4999999999999995</v>
      </c>
      <c r="BC14" s="29"/>
    </row>
    <row r="15" spans="1:55" ht="19.8" customHeight="1">
      <c r="A15" s="37" t="s">
        <v>50</v>
      </c>
      <c r="B15" s="69" t="s">
        <v>105</v>
      </c>
      <c r="D15" s="55"/>
      <c r="F15" s="4" t="str">
        <f>IF(WEEKDAY(F13,2)=StartDayNumb,F13,"")</f>
        <v/>
      </c>
      <c r="G15" s="5" t="str">
        <f>IF(F15&lt;&gt;"",F15+1,IF(WEEKDAY(F13,2)=MOD(StartDayNumb,7)+1,F13,""))</f>
        <v/>
      </c>
      <c r="H15" s="5" t="str">
        <f>IF(G15&lt;&gt;"",G15+1,IF(WEEKDAY(F13,2)=MOD(StartDayNumb+1,7)+1,F13,""))</f>
        <v/>
      </c>
      <c r="I15" s="5">
        <f>IF(H15&lt;&gt;"",H15+1,IF(WEEKDAY(F13,2)=MOD(StartDayNumb+2,7)+1,F13,""))</f>
        <v>44287</v>
      </c>
      <c r="J15" s="5">
        <f>IF(I15&lt;&gt;"",I15+1,IF(WEEKDAY(F13,2)=MOD(StartDayNumb+3,7)+1,F13,""))</f>
        <v>44288</v>
      </c>
      <c r="K15" s="5">
        <f>IF(J15&lt;&gt;"",J15+1,IF(WEEKDAY(F13,2)=MOD(StartDayNumb+4,7)+1,F13,""))</f>
        <v>44289</v>
      </c>
      <c r="L15" s="6">
        <f>IF(K15&lt;&gt;"",K15+1,IF(WEEKDAY(F13,2)=MOD(StartDayNumb+5,7)+1,F13,""))</f>
        <v>44290</v>
      </c>
      <c r="N15" s="4" t="str">
        <f>IF(WEEKDAY(N13,2)=StartDayNumb,N13,"")</f>
        <v/>
      </c>
      <c r="O15" s="5" t="str">
        <f>IF(N15&lt;&gt;"",N15+1,IF(WEEKDAY(N13,2)=MOD(StartDayNumb,7)+1,N13,""))</f>
        <v/>
      </c>
      <c r="P15" s="5" t="str">
        <f>IF(O15&lt;&gt;"",O15+1,IF(WEEKDAY(N13,2)=MOD(StartDayNumb+1,7)+1,N13,""))</f>
        <v/>
      </c>
      <c r="Q15" s="5" t="str">
        <f>IF(P15&lt;&gt;"",P15+1,IF(WEEKDAY(N13,2)=MOD(StartDayNumb+2,7)+1,N13,""))</f>
        <v/>
      </c>
      <c r="R15" s="5" t="str">
        <f>IF(Q15&lt;&gt;"",Q15+1,IF(WEEKDAY(N13,2)=MOD(StartDayNumb+3,7)+1,N13,""))</f>
        <v/>
      </c>
      <c r="S15" s="5">
        <f>IF(R15&lt;&gt;"",R15+1,IF(WEEKDAY(N13,2)=MOD(StartDayNumb+4,7)+1,N13,""))</f>
        <v>44317</v>
      </c>
      <c r="T15" s="6">
        <f>IF(S15&lt;&gt;"",S15+1,IF(WEEKDAY(N13,2)=MOD(StartDayNumb+5,7)+1,N13,""))</f>
        <v>44318</v>
      </c>
      <c r="V15" s="4" t="str">
        <f>IF(WEEKDAY(V13,2)=StartDayNumb,V13,"")</f>
        <v/>
      </c>
      <c r="W15" s="5">
        <f>IF(V15&lt;&gt;"",V15+1,IF(WEEKDAY(V13,2)=MOD(StartDayNumb,7)+1,V13,""))</f>
        <v>44348</v>
      </c>
      <c r="X15" s="5">
        <f>IF(W15&lt;&gt;"",W15+1,IF(WEEKDAY(V13,2)=MOD(StartDayNumb+1,7)+1,V13,""))</f>
        <v>44349</v>
      </c>
      <c r="Y15" s="5">
        <f>IF(X15&lt;&gt;"",X15+1,IF(WEEKDAY(V13,2)=MOD(StartDayNumb+2,7)+1,V13,""))</f>
        <v>44350</v>
      </c>
      <c r="Z15" s="5">
        <f>IF(Y15&lt;&gt;"",Y15+1,IF(WEEKDAY(V13,2)=MOD(StartDayNumb+3,7)+1,V13,""))</f>
        <v>44351</v>
      </c>
      <c r="AA15" s="5">
        <f>IF(Z15&lt;&gt;"",Z15+1,IF(WEEKDAY(V13,2)=MOD(StartDayNumb+4,7)+1,V13,""))</f>
        <v>44352</v>
      </c>
      <c r="AB15" s="6">
        <f>IF(AA15&lt;&gt;"",AA15+1,IF(WEEKDAY(V13,2)=MOD(StartDayNumb+5,7)+1,V13,""))</f>
        <v>44353</v>
      </c>
      <c r="AD15" s="87"/>
      <c r="AE15" s="87"/>
      <c r="AF15" s="87"/>
      <c r="AG15" s="87"/>
      <c r="AH15" s="87"/>
      <c r="AI15" s="87"/>
      <c r="AJ15" s="87"/>
      <c r="AL15" s="28">
        <f t="shared" si="8"/>
        <v>0.52083333333333282</v>
      </c>
      <c r="AM15" s="29"/>
      <c r="AO15" s="29"/>
      <c r="AQ15" s="29"/>
      <c r="AS15" s="28">
        <f t="shared" si="9"/>
        <v>0.52083333333333282</v>
      </c>
      <c r="AT15" s="51"/>
      <c r="AU15" s="51"/>
      <c r="AV15" s="51"/>
      <c r="AW15" s="51"/>
      <c r="AX15" s="51"/>
      <c r="AY15" s="51"/>
      <c r="AZ15" s="51"/>
      <c r="BB15" s="28">
        <f t="shared" si="10"/>
        <v>0.52083333333333282</v>
      </c>
      <c r="BC15" s="29"/>
    </row>
    <row r="16" spans="1:55" ht="19.8" customHeight="1">
      <c r="B16" s="70"/>
      <c r="D16" s="55"/>
      <c r="F16" s="7">
        <f>IF(L15="","",IF(MONTH(L15)&lt;&gt;MONTH(L15+1),"",L15+1))</f>
        <v>44291</v>
      </c>
      <c r="G16" s="8">
        <f t="shared" ref="G16:L16" si="18">IF(F16="","",IF(MONTH(F16)&lt;&gt;MONTH(F16+1),"",F16+1))</f>
        <v>44292</v>
      </c>
      <c r="H16" s="8">
        <f t="shared" si="18"/>
        <v>44293</v>
      </c>
      <c r="I16" s="8">
        <f t="shared" si="18"/>
        <v>44294</v>
      </c>
      <c r="J16" s="8">
        <f t="shared" si="18"/>
        <v>44295</v>
      </c>
      <c r="K16" s="8">
        <f t="shared" si="18"/>
        <v>44296</v>
      </c>
      <c r="L16" s="9">
        <f t="shared" si="18"/>
        <v>44297</v>
      </c>
      <c r="N16" s="7">
        <f>IF(T15="","",IF(MONTH(T15)&lt;&gt;MONTH(T15+1),"",T15+1))</f>
        <v>44319</v>
      </c>
      <c r="O16" s="8">
        <f t="shared" ref="O16:T16" si="19">IF(N16="","",IF(MONTH(N16)&lt;&gt;MONTH(N16+1),"",N16+1))</f>
        <v>44320</v>
      </c>
      <c r="P16" s="8">
        <f t="shared" si="19"/>
        <v>44321</v>
      </c>
      <c r="Q16" s="8">
        <f t="shared" si="19"/>
        <v>44322</v>
      </c>
      <c r="R16" s="8">
        <f t="shared" si="19"/>
        <v>44323</v>
      </c>
      <c r="S16" s="8">
        <f t="shared" si="19"/>
        <v>44324</v>
      </c>
      <c r="T16" s="9">
        <f t="shared" si="19"/>
        <v>44325</v>
      </c>
      <c r="V16" s="7">
        <f>IF(AB15="","",IF(MONTH(AB15)&lt;&gt;MONTH(AB15+1),"",AB15+1))</f>
        <v>44354</v>
      </c>
      <c r="W16" s="8">
        <f t="shared" ref="W16:AB16" si="20">IF(V16="","",IF(MONTH(V16)&lt;&gt;MONTH(V16+1),"",V16+1))</f>
        <v>44355</v>
      </c>
      <c r="X16" s="8">
        <f t="shared" si="20"/>
        <v>44356</v>
      </c>
      <c r="Y16" s="8">
        <f t="shared" si="20"/>
        <v>44357</v>
      </c>
      <c r="Z16" s="8">
        <f t="shared" si="20"/>
        <v>44358</v>
      </c>
      <c r="AA16" s="8">
        <f t="shared" si="20"/>
        <v>44359</v>
      </c>
      <c r="AB16" s="9">
        <f t="shared" si="20"/>
        <v>44360</v>
      </c>
      <c r="AD16" s="87"/>
      <c r="AE16" s="87"/>
      <c r="AF16" s="87"/>
      <c r="AG16" s="87"/>
      <c r="AH16" s="87"/>
      <c r="AI16" s="87"/>
      <c r="AJ16" s="87"/>
      <c r="AL16" s="28">
        <f t="shared" si="8"/>
        <v>0.54166666666666619</v>
      </c>
      <c r="AM16" s="29"/>
      <c r="AO16" s="29"/>
      <c r="AQ16" s="29"/>
      <c r="AS16" s="28">
        <f t="shared" si="9"/>
        <v>0.54166666666666619</v>
      </c>
      <c r="AT16" s="51"/>
      <c r="AU16" s="51"/>
      <c r="AV16" s="51"/>
      <c r="AW16" s="51"/>
      <c r="AX16" s="51"/>
      <c r="AY16" s="51"/>
      <c r="AZ16" s="51"/>
      <c r="BB16" s="28">
        <f t="shared" si="10"/>
        <v>0.54166666666666619</v>
      </c>
      <c r="BC16" s="29"/>
    </row>
    <row r="17" spans="1:55" ht="19.8" customHeight="1">
      <c r="A17" s="37" t="s">
        <v>0</v>
      </c>
      <c r="B17" s="69" t="s">
        <v>1</v>
      </c>
      <c r="D17" s="59"/>
      <c r="F17" s="7">
        <f>IF(L16="","",IF(MONTH(L16)&lt;&gt;MONTH(L16+1),"",L16+1))</f>
        <v>44298</v>
      </c>
      <c r="G17" s="8">
        <f t="shared" ref="G17:L20" si="21">IF(F17="","",IF(MONTH(F17)&lt;&gt;MONTH(F17+1),"",F17+1))</f>
        <v>44299</v>
      </c>
      <c r="H17" s="8">
        <f t="shared" si="21"/>
        <v>44300</v>
      </c>
      <c r="I17" s="8">
        <f t="shared" si="21"/>
        <v>44301</v>
      </c>
      <c r="J17" s="8">
        <f t="shared" si="21"/>
        <v>44302</v>
      </c>
      <c r="K17" s="8">
        <f t="shared" si="21"/>
        <v>44303</v>
      </c>
      <c r="L17" s="9">
        <f t="shared" si="21"/>
        <v>44304</v>
      </c>
      <c r="N17" s="7">
        <f>IF(T16="","",IF(MONTH(T16)&lt;&gt;MONTH(T16+1),"",T16+1))</f>
        <v>44326</v>
      </c>
      <c r="O17" s="8">
        <f t="shared" ref="O17:T20" si="22">IF(N17="","",IF(MONTH(N17)&lt;&gt;MONTH(N17+1),"",N17+1))</f>
        <v>44327</v>
      </c>
      <c r="P17" s="8">
        <f t="shared" si="22"/>
        <v>44328</v>
      </c>
      <c r="Q17" s="8">
        <f t="shared" si="22"/>
        <v>44329</v>
      </c>
      <c r="R17" s="8">
        <f t="shared" si="22"/>
        <v>44330</v>
      </c>
      <c r="S17" s="8">
        <f t="shared" si="22"/>
        <v>44331</v>
      </c>
      <c r="T17" s="9">
        <f t="shared" si="22"/>
        <v>44332</v>
      </c>
      <c r="V17" s="7">
        <f>IF(AB16="","",IF(MONTH(AB16)&lt;&gt;MONTH(AB16+1),"",AB16+1))</f>
        <v>44361</v>
      </c>
      <c r="W17" s="8">
        <f t="shared" ref="W17:AB20" si="23">IF(V17="","",IF(MONTH(V17)&lt;&gt;MONTH(V17+1),"",V17+1))</f>
        <v>44362</v>
      </c>
      <c r="X17" s="8">
        <f t="shared" si="23"/>
        <v>44363</v>
      </c>
      <c r="Y17" s="8">
        <f t="shared" si="23"/>
        <v>44364</v>
      </c>
      <c r="Z17" s="8">
        <f t="shared" si="23"/>
        <v>44365</v>
      </c>
      <c r="AA17" s="8">
        <f t="shared" si="23"/>
        <v>44366</v>
      </c>
      <c r="AB17" s="9">
        <f t="shared" si="23"/>
        <v>44367</v>
      </c>
      <c r="AD17" s="88"/>
      <c r="AE17" s="88"/>
      <c r="AF17" s="88"/>
      <c r="AG17" s="88"/>
      <c r="AH17" s="88"/>
      <c r="AI17" s="88"/>
      <c r="AJ17" s="88"/>
      <c r="AL17" s="28">
        <f t="shared" si="8"/>
        <v>0.56249999999999956</v>
      </c>
      <c r="AM17" s="29"/>
      <c r="AO17" s="29"/>
      <c r="AQ17" s="29"/>
      <c r="AS17" s="28">
        <f t="shared" si="9"/>
        <v>0.56249999999999956</v>
      </c>
      <c r="AT17" s="51"/>
      <c r="AU17" s="51"/>
      <c r="AV17" s="51"/>
      <c r="AW17" s="51"/>
      <c r="AX17" s="51"/>
      <c r="AY17" s="51"/>
      <c r="AZ17" s="51"/>
      <c r="BB17" s="28">
        <f t="shared" si="10"/>
        <v>0.56249999999999956</v>
      </c>
      <c r="BC17" s="29"/>
    </row>
    <row r="18" spans="1:55" ht="19.8" customHeight="1">
      <c r="A18" s="37" t="s">
        <v>15</v>
      </c>
      <c r="B18" s="71">
        <f>MATCH(StartDay,Days,0)</f>
        <v>1</v>
      </c>
      <c r="F18" s="7">
        <f>IF(L17="","",IF(MONTH(L17)&lt;&gt;MONTH(L17+1),"",L17+1))</f>
        <v>44305</v>
      </c>
      <c r="G18" s="8">
        <f t="shared" si="21"/>
        <v>44306</v>
      </c>
      <c r="H18" s="8">
        <f t="shared" si="21"/>
        <v>44307</v>
      </c>
      <c r="I18" s="8">
        <f t="shared" si="21"/>
        <v>44308</v>
      </c>
      <c r="J18" s="8">
        <f t="shared" si="21"/>
        <v>44309</v>
      </c>
      <c r="K18" s="8">
        <f t="shared" si="21"/>
        <v>44310</v>
      </c>
      <c r="L18" s="9">
        <f t="shared" si="21"/>
        <v>44311</v>
      </c>
      <c r="N18" s="7">
        <f>IF(T17="","",IF(MONTH(T17)&lt;&gt;MONTH(T17+1),"",T17+1))</f>
        <v>44333</v>
      </c>
      <c r="O18" s="8">
        <f t="shared" si="22"/>
        <v>44334</v>
      </c>
      <c r="P18" s="8">
        <f t="shared" si="22"/>
        <v>44335</v>
      </c>
      <c r="Q18" s="8">
        <f t="shared" si="22"/>
        <v>44336</v>
      </c>
      <c r="R18" s="8">
        <f t="shared" si="22"/>
        <v>44337</v>
      </c>
      <c r="S18" s="8">
        <f t="shared" si="22"/>
        <v>44338</v>
      </c>
      <c r="T18" s="9">
        <f t="shared" si="22"/>
        <v>44339</v>
      </c>
      <c r="V18" s="7">
        <f>IF(AB17="","",IF(MONTH(AB17)&lt;&gt;MONTH(AB17+1),"",AB17+1))</f>
        <v>44368</v>
      </c>
      <c r="W18" s="8">
        <f t="shared" si="23"/>
        <v>44369</v>
      </c>
      <c r="X18" s="8">
        <f t="shared" si="23"/>
        <v>44370</v>
      </c>
      <c r="Y18" s="8">
        <f t="shared" si="23"/>
        <v>44371</v>
      </c>
      <c r="Z18" s="8">
        <f t="shared" si="23"/>
        <v>44372</v>
      </c>
      <c r="AA18" s="8">
        <f t="shared" si="23"/>
        <v>44373</v>
      </c>
      <c r="AB18" s="9">
        <f t="shared" si="23"/>
        <v>44374</v>
      </c>
      <c r="AD18" s="39">
        <f>AJ12+1</f>
        <v>44543</v>
      </c>
      <c r="AE18" s="39">
        <f t="shared" ref="AE18:AJ18" si="24">AD18+1</f>
        <v>44544</v>
      </c>
      <c r="AF18" s="39">
        <f t="shared" si="24"/>
        <v>44545</v>
      </c>
      <c r="AG18" s="39">
        <f t="shared" si="24"/>
        <v>44546</v>
      </c>
      <c r="AH18" s="39">
        <f t="shared" si="24"/>
        <v>44547</v>
      </c>
      <c r="AI18" s="39">
        <f t="shared" si="24"/>
        <v>44548</v>
      </c>
      <c r="AJ18" s="39">
        <f t="shared" si="24"/>
        <v>44549</v>
      </c>
      <c r="AL18" s="28">
        <f t="shared" si="8"/>
        <v>0.58333333333333293</v>
      </c>
      <c r="AM18" s="29"/>
      <c r="AO18" s="29"/>
      <c r="AQ18" s="29"/>
      <c r="AS18" s="28">
        <f t="shared" si="9"/>
        <v>0.58333333333333293</v>
      </c>
      <c r="AT18" s="51"/>
      <c r="AU18" s="51"/>
      <c r="AV18" s="51"/>
      <c r="AW18" s="51"/>
      <c r="AX18" s="51"/>
      <c r="AY18" s="51"/>
      <c r="AZ18" s="51"/>
      <c r="BB18" s="28">
        <f t="shared" si="10"/>
        <v>0.58333333333333293</v>
      </c>
      <c r="BC18" s="29"/>
    </row>
    <row r="19" spans="1:55" ht="19.8" customHeight="1">
      <c r="A19" s="37" t="s">
        <v>1</v>
      </c>
      <c r="B19" s="69" t="s">
        <v>2</v>
      </c>
      <c r="F19" s="7">
        <f>IF(L18="","",IF(MONTH(L18)&lt;&gt;MONTH(L18+1),"",L18+1))</f>
        <v>44312</v>
      </c>
      <c r="G19" s="8">
        <f t="shared" si="21"/>
        <v>44313</v>
      </c>
      <c r="H19" s="8">
        <f t="shared" si="21"/>
        <v>44314</v>
      </c>
      <c r="I19" s="8">
        <f t="shared" si="21"/>
        <v>44315</v>
      </c>
      <c r="J19" s="8">
        <f t="shared" si="21"/>
        <v>44316</v>
      </c>
      <c r="K19" s="8" t="str">
        <f t="shared" si="21"/>
        <v/>
      </c>
      <c r="L19" s="9" t="str">
        <f t="shared" si="21"/>
        <v/>
      </c>
      <c r="N19" s="7">
        <f>IF(T18="","",IF(MONTH(T18)&lt;&gt;MONTH(T18+1),"",T18+1))</f>
        <v>44340</v>
      </c>
      <c r="O19" s="8">
        <f t="shared" si="22"/>
        <v>44341</v>
      </c>
      <c r="P19" s="8">
        <f t="shared" si="22"/>
        <v>44342</v>
      </c>
      <c r="Q19" s="8">
        <f t="shared" si="22"/>
        <v>44343</v>
      </c>
      <c r="R19" s="8">
        <f t="shared" si="22"/>
        <v>44344</v>
      </c>
      <c r="S19" s="8">
        <f t="shared" si="22"/>
        <v>44345</v>
      </c>
      <c r="T19" s="9">
        <f t="shared" si="22"/>
        <v>44346</v>
      </c>
      <c r="V19" s="7">
        <f>IF(AB18="","",IF(MONTH(AB18)&lt;&gt;MONTH(AB18+1),"",AB18+1))</f>
        <v>44375</v>
      </c>
      <c r="W19" s="8">
        <f t="shared" si="23"/>
        <v>44376</v>
      </c>
      <c r="X19" s="8">
        <f t="shared" si="23"/>
        <v>44377</v>
      </c>
      <c r="Y19" s="8" t="str">
        <f t="shared" si="23"/>
        <v/>
      </c>
      <c r="Z19" s="8" t="str">
        <f t="shared" si="23"/>
        <v/>
      </c>
      <c r="AA19" s="8" t="str">
        <f t="shared" si="23"/>
        <v/>
      </c>
      <c r="AB19" s="9" t="str">
        <f t="shared" si="23"/>
        <v/>
      </c>
      <c r="AD19" s="86"/>
      <c r="AE19" s="86"/>
      <c r="AF19" s="93"/>
      <c r="AG19" s="86"/>
      <c r="AH19" s="86"/>
      <c r="AI19" s="86"/>
      <c r="AJ19" s="92"/>
      <c r="AL19" s="28">
        <f t="shared" si="8"/>
        <v>0.6041666666666663</v>
      </c>
      <c r="AM19" s="29"/>
      <c r="AO19" s="29"/>
      <c r="AQ19" s="29"/>
      <c r="AS19" s="28">
        <f t="shared" si="9"/>
        <v>0.6041666666666663</v>
      </c>
      <c r="AT19" s="51"/>
      <c r="AU19" s="51"/>
      <c r="AV19" s="51"/>
      <c r="AW19" s="51"/>
      <c r="AX19" s="51"/>
      <c r="AY19" s="51"/>
      <c r="AZ19" s="51"/>
      <c r="BB19" s="28">
        <f t="shared" si="10"/>
        <v>0.6041666666666663</v>
      </c>
      <c r="BC19" s="29"/>
    </row>
    <row r="20" spans="1:55" ht="19.8" customHeight="1">
      <c r="A20" s="37" t="s">
        <v>3</v>
      </c>
      <c r="B20" s="69" t="s">
        <v>4</v>
      </c>
      <c r="D20" s="61"/>
      <c r="F20" s="10" t="str">
        <f>IF(L19="","",IF(MONTH(L19)&lt;&gt;MONTH(L19+1),"",L19+1))</f>
        <v/>
      </c>
      <c r="G20" s="11" t="str">
        <f t="shared" si="21"/>
        <v/>
      </c>
      <c r="H20" s="11" t="str">
        <f t="shared" si="21"/>
        <v/>
      </c>
      <c r="I20" s="11" t="str">
        <f t="shared" si="21"/>
        <v/>
      </c>
      <c r="J20" s="11" t="str">
        <f t="shared" si="21"/>
        <v/>
      </c>
      <c r="K20" s="11" t="str">
        <f t="shared" si="21"/>
        <v/>
      </c>
      <c r="L20" s="12" t="str">
        <f t="shared" si="21"/>
        <v/>
      </c>
      <c r="N20" s="10">
        <f>IF(T19="","",IF(MONTH(T19)&lt;&gt;MONTH(T19+1),"",T19+1))</f>
        <v>44347</v>
      </c>
      <c r="O20" s="11" t="str">
        <f t="shared" si="22"/>
        <v/>
      </c>
      <c r="P20" s="11" t="str">
        <f t="shared" si="22"/>
        <v/>
      </c>
      <c r="Q20" s="11" t="str">
        <f t="shared" si="22"/>
        <v/>
      </c>
      <c r="R20" s="11" t="str">
        <f t="shared" si="22"/>
        <v/>
      </c>
      <c r="S20" s="11" t="str">
        <f t="shared" si="22"/>
        <v/>
      </c>
      <c r="T20" s="12" t="str">
        <f t="shared" si="22"/>
        <v/>
      </c>
      <c r="V20" s="10" t="str">
        <f>IF(AB19="","",IF(MONTH(AB19)&lt;&gt;MONTH(AB19+1),"",AB19+1))</f>
        <v/>
      </c>
      <c r="W20" s="11" t="str">
        <f t="shared" si="23"/>
        <v/>
      </c>
      <c r="X20" s="11" t="str">
        <f t="shared" si="23"/>
        <v/>
      </c>
      <c r="Y20" s="11" t="str">
        <f t="shared" si="23"/>
        <v/>
      </c>
      <c r="Z20" s="11" t="str">
        <f t="shared" si="23"/>
        <v/>
      </c>
      <c r="AA20" s="11" t="str">
        <f t="shared" si="23"/>
        <v/>
      </c>
      <c r="AB20" s="12" t="str">
        <f t="shared" si="23"/>
        <v/>
      </c>
      <c r="AD20" s="87"/>
      <c r="AE20" s="87"/>
      <c r="AF20" s="87"/>
      <c r="AG20" s="87"/>
      <c r="AH20" s="87"/>
      <c r="AI20" s="87"/>
      <c r="AJ20" s="87"/>
      <c r="AL20" s="28">
        <f t="shared" si="8"/>
        <v>0.62499999999999967</v>
      </c>
      <c r="AM20" s="29"/>
      <c r="AO20" s="29"/>
      <c r="AQ20" s="29"/>
      <c r="AS20" s="28">
        <f t="shared" si="9"/>
        <v>0.62499999999999967</v>
      </c>
      <c r="AT20" s="51"/>
      <c r="AU20" s="51"/>
      <c r="AV20" s="51"/>
      <c r="AW20" s="51"/>
      <c r="AX20" s="51"/>
      <c r="AY20" s="51"/>
      <c r="AZ20" s="51"/>
      <c r="BB20" s="28">
        <f t="shared" si="10"/>
        <v>0.62499999999999967</v>
      </c>
      <c r="BC20" s="29"/>
    </row>
    <row r="21" spans="1:55" ht="19.8" customHeight="1">
      <c r="A21" s="37" t="s">
        <v>5</v>
      </c>
      <c r="B21" s="69" t="s">
        <v>6</v>
      </c>
      <c r="D21" s="61"/>
      <c r="AD21" s="87"/>
      <c r="AE21" s="87"/>
      <c r="AF21" s="87"/>
      <c r="AG21" s="87"/>
      <c r="AH21" s="87"/>
      <c r="AI21" s="87"/>
      <c r="AJ21" s="87"/>
      <c r="AL21" s="28">
        <f t="shared" si="8"/>
        <v>0.64583333333333304</v>
      </c>
      <c r="AM21" s="29"/>
      <c r="AO21" s="29"/>
      <c r="AQ21" s="29"/>
      <c r="AS21" s="28">
        <f t="shared" si="9"/>
        <v>0.64583333333333304</v>
      </c>
      <c r="AT21" s="51"/>
      <c r="AU21" s="51"/>
      <c r="AV21" s="51"/>
      <c r="AW21" s="51"/>
      <c r="AX21" s="51"/>
      <c r="AY21" s="51"/>
      <c r="AZ21" s="51"/>
      <c r="BB21" s="28">
        <f t="shared" si="10"/>
        <v>0.64583333333333304</v>
      </c>
      <c r="BC21" s="29"/>
    </row>
    <row r="22" spans="1:55" ht="19.8" customHeight="1">
      <c r="A22" s="37" t="s">
        <v>7</v>
      </c>
      <c r="B22" s="69" t="s">
        <v>8</v>
      </c>
      <c r="C22" s="78" t="s">
        <v>104</v>
      </c>
      <c r="F22" s="89">
        <f>DATE(ScYear,7,1)</f>
        <v>44378</v>
      </c>
      <c r="G22" s="90"/>
      <c r="H22" s="90"/>
      <c r="I22" s="90"/>
      <c r="J22" s="90"/>
      <c r="K22" s="90"/>
      <c r="L22" s="91"/>
      <c r="N22" s="89">
        <f>DATE(ScYear,8,1)</f>
        <v>44409</v>
      </c>
      <c r="O22" s="90"/>
      <c r="P22" s="90"/>
      <c r="Q22" s="90"/>
      <c r="R22" s="90"/>
      <c r="S22" s="90"/>
      <c r="T22" s="91"/>
      <c r="V22" s="89">
        <f>DATE(ScYear,9,1)</f>
        <v>44440</v>
      </c>
      <c r="W22" s="90"/>
      <c r="X22" s="90"/>
      <c r="Y22" s="90"/>
      <c r="Z22" s="90"/>
      <c r="AA22" s="90"/>
      <c r="AB22" s="91"/>
      <c r="AD22" s="87"/>
      <c r="AE22" s="87"/>
      <c r="AF22" s="87"/>
      <c r="AG22" s="87"/>
      <c r="AH22" s="87"/>
      <c r="AI22" s="87"/>
      <c r="AJ22" s="87"/>
      <c r="AL22" s="28">
        <f t="shared" si="8"/>
        <v>0.66666666666666641</v>
      </c>
      <c r="AM22" s="29"/>
      <c r="AO22" s="29"/>
      <c r="AQ22" s="29"/>
      <c r="AS22" s="28">
        <f t="shared" si="9"/>
        <v>0.66666666666666641</v>
      </c>
      <c r="AT22" s="51"/>
      <c r="AU22" s="51"/>
      <c r="AV22" s="51"/>
      <c r="AW22" s="51"/>
      <c r="AX22" s="51"/>
      <c r="AY22" s="51"/>
      <c r="AZ22" s="51"/>
      <c r="BB22" s="28">
        <f t="shared" si="10"/>
        <v>0.66666666666666641</v>
      </c>
      <c r="BC22" s="29"/>
    </row>
    <row r="23" spans="1:55" ht="19.8" customHeight="1">
      <c r="A23" s="37" t="s">
        <v>9</v>
      </c>
      <c r="B23" s="69" t="s">
        <v>10</v>
      </c>
      <c r="F23" s="1" t="str">
        <f>INDEX(DayAbb,MATCH(StartDay,Days,0),1)</f>
        <v>Mo</v>
      </c>
      <c r="G23" s="2" t="str">
        <f t="shared" ref="G23:L23" si="25">IF(MATCH(F23,DayAbb,0)=7,$AM$9,INDEX(DayAbb,MATCH(F23,DayAbb,0)+1,1))</f>
        <v>Tu</v>
      </c>
      <c r="H23" s="2" t="str">
        <f t="shared" si="25"/>
        <v>We</v>
      </c>
      <c r="I23" s="2" t="str">
        <f t="shared" si="25"/>
        <v>Th</v>
      </c>
      <c r="J23" s="2" t="str">
        <f t="shared" si="25"/>
        <v>Fr</v>
      </c>
      <c r="K23" s="2" t="str">
        <f t="shared" si="25"/>
        <v>Sa</v>
      </c>
      <c r="L23" s="3" t="str">
        <f t="shared" si="25"/>
        <v>Su</v>
      </c>
      <c r="N23" s="1" t="str">
        <f>INDEX(DayAbb,MATCH(StartDay,Days,0),1)</f>
        <v>Mo</v>
      </c>
      <c r="O23" s="2" t="str">
        <f t="shared" ref="O23:T23" si="26">IF(MATCH(N23,DayAbb,0)=7,$AM$9,INDEX(DayAbb,MATCH(N23,DayAbb,0)+1,1))</f>
        <v>Tu</v>
      </c>
      <c r="P23" s="2" t="str">
        <f t="shared" si="26"/>
        <v>We</v>
      </c>
      <c r="Q23" s="2" t="str">
        <f t="shared" si="26"/>
        <v>Th</v>
      </c>
      <c r="R23" s="2" t="str">
        <f t="shared" si="26"/>
        <v>Fr</v>
      </c>
      <c r="S23" s="2" t="str">
        <f t="shared" si="26"/>
        <v>Sa</v>
      </c>
      <c r="T23" s="3" t="str">
        <f t="shared" si="26"/>
        <v>Su</v>
      </c>
      <c r="V23" s="1" t="str">
        <f>INDEX(DayAbb,MATCH(StartDay,Days,0),1)</f>
        <v>Mo</v>
      </c>
      <c r="W23" s="2" t="str">
        <f t="shared" ref="W23:AB23" si="27">IF(MATCH(V23,DayAbb,0)=7,$AM$9,INDEX(DayAbb,MATCH(V23,DayAbb,0)+1,1))</f>
        <v>Tu</v>
      </c>
      <c r="X23" s="2" t="str">
        <f t="shared" si="27"/>
        <v>We</v>
      </c>
      <c r="Y23" s="2" t="str">
        <f t="shared" si="27"/>
        <v>Th</v>
      </c>
      <c r="Z23" s="2" t="str">
        <f t="shared" si="27"/>
        <v>Fr</v>
      </c>
      <c r="AA23" s="2" t="str">
        <f t="shared" si="27"/>
        <v>Sa</v>
      </c>
      <c r="AB23" s="3" t="str">
        <f t="shared" si="27"/>
        <v>Su</v>
      </c>
      <c r="AD23" s="88"/>
      <c r="AE23" s="88"/>
      <c r="AF23" s="88"/>
      <c r="AG23" s="88"/>
      <c r="AH23" s="88"/>
      <c r="AI23" s="88"/>
      <c r="AJ23" s="88"/>
      <c r="AL23" s="28">
        <f t="shared" si="8"/>
        <v>0.68749999999999978</v>
      </c>
      <c r="AM23" s="29"/>
      <c r="AO23" s="29"/>
      <c r="AQ23" s="29"/>
      <c r="AS23" s="28">
        <f t="shared" si="9"/>
        <v>0.68749999999999978</v>
      </c>
      <c r="AT23" s="51"/>
      <c r="AU23" s="51"/>
      <c r="AV23" s="51"/>
      <c r="AW23" s="51"/>
      <c r="AX23" s="51"/>
      <c r="AY23" s="51"/>
      <c r="AZ23" s="51"/>
      <c r="BB23" s="28">
        <f t="shared" si="10"/>
        <v>0.68749999999999978</v>
      </c>
      <c r="BC23" s="29"/>
    </row>
    <row r="24" spans="1:55" ht="19.8" customHeight="1">
      <c r="A24" s="37" t="s">
        <v>11</v>
      </c>
      <c r="B24" s="69" t="s">
        <v>12</v>
      </c>
      <c r="F24" s="4" t="str">
        <f>IF(WEEKDAY(F22,2)=StartDayNumb,F22,"")</f>
        <v/>
      </c>
      <c r="G24" s="5" t="str">
        <f>IF(F24&lt;&gt;"",F24+1,IF(WEEKDAY(F22,2)=MOD(StartDayNumb,7)+1,F22,""))</f>
        <v/>
      </c>
      <c r="H24" s="5" t="str">
        <f>IF(G24&lt;&gt;"",G24+1,IF(WEEKDAY(F22,2)=MOD(StartDayNumb+1,7)+1,F22,""))</f>
        <v/>
      </c>
      <c r="I24" s="5">
        <f>IF(H24&lt;&gt;"",H24+1,IF(WEEKDAY(F22,2)=MOD(StartDayNumb+2,7)+1,F22,""))</f>
        <v>44378</v>
      </c>
      <c r="J24" s="5">
        <f>IF(I24&lt;&gt;"",I24+1,IF(WEEKDAY(F22,2)=MOD(StartDayNumb+3,7)+1,F22,""))</f>
        <v>44379</v>
      </c>
      <c r="K24" s="5">
        <f>IF(J24&lt;&gt;"",J24+1,IF(WEEKDAY(F22,2)=MOD(StartDayNumb+4,7)+1,F22,""))</f>
        <v>44380</v>
      </c>
      <c r="L24" s="6">
        <f>IF(K24&lt;&gt;"",K24+1,IF(WEEKDAY(F22,2)=MOD(StartDayNumb+5,7)+1,F22,""))</f>
        <v>44381</v>
      </c>
      <c r="N24" s="4" t="str">
        <f>IF(WEEKDAY(N22,2)=StartDayNumb,N22,"")</f>
        <v/>
      </c>
      <c r="O24" s="5" t="str">
        <f>IF(N24&lt;&gt;"",N24+1,IF(WEEKDAY(N22,2)=MOD(StartDayNumb,7)+1,N22,""))</f>
        <v/>
      </c>
      <c r="P24" s="5" t="str">
        <f>IF(O24&lt;&gt;"",O24+1,IF(WEEKDAY(N22,2)=MOD(StartDayNumb+1,7)+1,N22,""))</f>
        <v/>
      </c>
      <c r="Q24" s="5" t="str">
        <f>IF(P24&lt;&gt;"",P24+1,IF(WEEKDAY(N22,2)=MOD(StartDayNumb+2,7)+1,N22,""))</f>
        <v/>
      </c>
      <c r="R24" s="5" t="str">
        <f>IF(Q24&lt;&gt;"",Q24+1,IF(WEEKDAY(N22,2)=MOD(StartDayNumb+3,7)+1,N22,""))</f>
        <v/>
      </c>
      <c r="S24" s="5" t="str">
        <f>IF(R24&lt;&gt;"",R24+1,IF(WEEKDAY(N22,2)=MOD(StartDayNumb+4,7)+1,N22,""))</f>
        <v/>
      </c>
      <c r="T24" s="6">
        <f>IF(S24&lt;&gt;"",S24+1,IF(WEEKDAY(N22,2)=MOD(StartDayNumb+5,7)+1,N22,""))</f>
        <v>44409</v>
      </c>
      <c r="V24" s="4" t="str">
        <f>IF(WEEKDAY(V22,2)=StartDayNumb,V22,"")</f>
        <v/>
      </c>
      <c r="W24" s="5" t="str">
        <f>IF(V24&lt;&gt;"",V24+1,IF(WEEKDAY(V22,2)=MOD(StartDayNumb,7)+1,V22,""))</f>
        <v/>
      </c>
      <c r="X24" s="5">
        <f>IF(W24&lt;&gt;"",W24+1,IF(WEEKDAY(V22,2)=MOD(StartDayNumb+1,7)+1,V22,""))</f>
        <v>44440</v>
      </c>
      <c r="Y24" s="5">
        <f>IF(X24&lt;&gt;"",X24+1,IF(WEEKDAY(V22,2)=MOD(StartDayNumb+2,7)+1,V22,""))</f>
        <v>44441</v>
      </c>
      <c r="Z24" s="5">
        <f>IF(Y24&lt;&gt;"",Y24+1,IF(WEEKDAY(V22,2)=MOD(StartDayNumb+3,7)+1,V22,""))</f>
        <v>44442</v>
      </c>
      <c r="AA24" s="5">
        <f>IF(Z24&lt;&gt;"",Z24+1,IF(WEEKDAY(V22,2)=MOD(StartDayNumb+4,7)+1,V22,""))</f>
        <v>44443</v>
      </c>
      <c r="AB24" s="6">
        <f>IF(AA24&lt;&gt;"",AA24+1,IF(WEEKDAY(V22,2)=MOD(StartDayNumb+5,7)+1,V22,""))</f>
        <v>44444</v>
      </c>
      <c r="AD24" s="39">
        <f>AJ18+1</f>
        <v>44550</v>
      </c>
      <c r="AE24" s="39">
        <f t="shared" ref="AE24:AJ24" si="28">AD24+1</f>
        <v>44551</v>
      </c>
      <c r="AF24" s="39">
        <f t="shared" si="28"/>
        <v>44552</v>
      </c>
      <c r="AG24" s="39">
        <f t="shared" si="28"/>
        <v>44553</v>
      </c>
      <c r="AH24" s="39">
        <f t="shared" si="28"/>
        <v>44554</v>
      </c>
      <c r="AI24" s="39">
        <f t="shared" si="28"/>
        <v>44555</v>
      </c>
      <c r="AJ24" s="39">
        <f t="shared" si="28"/>
        <v>44556</v>
      </c>
      <c r="AL24" s="28">
        <f t="shared" si="8"/>
        <v>0.70833333333333315</v>
      </c>
      <c r="AM24" s="29"/>
      <c r="AO24" s="29"/>
      <c r="AQ24" s="29"/>
      <c r="AS24" s="28">
        <f t="shared" si="9"/>
        <v>0.70833333333333315</v>
      </c>
      <c r="AT24" s="51"/>
      <c r="AU24" s="51"/>
      <c r="AV24" s="51"/>
      <c r="AW24" s="51"/>
      <c r="AX24" s="51"/>
      <c r="AY24" s="51"/>
      <c r="AZ24" s="51"/>
      <c r="BB24" s="28">
        <f t="shared" si="10"/>
        <v>0.70833333333333315</v>
      </c>
      <c r="BC24" s="29"/>
    </row>
    <row r="25" spans="1:55" ht="19.8" customHeight="1">
      <c r="A25" s="37" t="s">
        <v>13</v>
      </c>
      <c r="B25" s="69" t="s">
        <v>14</v>
      </c>
      <c r="F25" s="7">
        <f>IF(L24="","",IF(MONTH(L24)&lt;&gt;MONTH(L24+1),"",L24+1))</f>
        <v>44382</v>
      </c>
      <c r="G25" s="8">
        <f t="shared" ref="G25:L25" si="29">IF(F25="","",IF(MONTH(F25)&lt;&gt;MONTH(F25+1),"",F25+1))</f>
        <v>44383</v>
      </c>
      <c r="H25" s="8">
        <f t="shared" si="29"/>
        <v>44384</v>
      </c>
      <c r="I25" s="8">
        <f t="shared" si="29"/>
        <v>44385</v>
      </c>
      <c r="J25" s="8">
        <f t="shared" si="29"/>
        <v>44386</v>
      </c>
      <c r="K25" s="8">
        <f t="shared" si="29"/>
        <v>44387</v>
      </c>
      <c r="L25" s="9">
        <f t="shared" si="29"/>
        <v>44388</v>
      </c>
      <c r="N25" s="7">
        <f>IF(T24="","",IF(MONTH(T24)&lt;&gt;MONTH(T24+1),"",T24+1))</f>
        <v>44410</v>
      </c>
      <c r="O25" s="8">
        <f t="shared" ref="O25:T25" si="30">IF(N25="","",IF(MONTH(N25)&lt;&gt;MONTH(N25+1),"",N25+1))</f>
        <v>44411</v>
      </c>
      <c r="P25" s="8">
        <f t="shared" si="30"/>
        <v>44412</v>
      </c>
      <c r="Q25" s="8">
        <f t="shared" si="30"/>
        <v>44413</v>
      </c>
      <c r="R25" s="8">
        <f t="shared" si="30"/>
        <v>44414</v>
      </c>
      <c r="S25" s="8">
        <f t="shared" si="30"/>
        <v>44415</v>
      </c>
      <c r="T25" s="9">
        <f t="shared" si="30"/>
        <v>44416</v>
      </c>
      <c r="V25" s="7">
        <f>IF(AB24="","",IF(MONTH(AB24)&lt;&gt;MONTH(AB24+1),"",AB24+1))</f>
        <v>44445</v>
      </c>
      <c r="W25" s="8">
        <f t="shared" ref="W25:AB25" si="31">IF(V25="","",IF(MONTH(V25)&lt;&gt;MONTH(V25+1),"",V25+1))</f>
        <v>44446</v>
      </c>
      <c r="X25" s="8">
        <f t="shared" si="31"/>
        <v>44447</v>
      </c>
      <c r="Y25" s="8">
        <f t="shared" si="31"/>
        <v>44448</v>
      </c>
      <c r="Z25" s="8">
        <f t="shared" si="31"/>
        <v>44449</v>
      </c>
      <c r="AA25" s="8">
        <f t="shared" si="31"/>
        <v>44450</v>
      </c>
      <c r="AB25" s="9">
        <f t="shared" si="31"/>
        <v>44451</v>
      </c>
      <c r="AD25" s="86"/>
      <c r="AE25" s="86"/>
      <c r="AF25" s="86"/>
      <c r="AG25" s="92"/>
      <c r="AH25" s="86"/>
      <c r="AI25" s="86"/>
      <c r="AJ25" s="86"/>
      <c r="AL25" s="28">
        <f t="shared" si="8"/>
        <v>0.72916666666666652</v>
      </c>
      <c r="AM25" s="29"/>
      <c r="AO25" s="29"/>
      <c r="AQ25" s="29"/>
      <c r="AS25" s="28">
        <f t="shared" si="9"/>
        <v>0.72916666666666652</v>
      </c>
      <c r="AT25" s="51"/>
      <c r="AU25" s="51"/>
      <c r="AV25" s="51"/>
      <c r="AW25" s="51"/>
      <c r="AX25" s="51"/>
      <c r="AY25" s="51"/>
      <c r="AZ25" s="51"/>
      <c r="BB25" s="28">
        <f t="shared" si="10"/>
        <v>0.72916666666666652</v>
      </c>
      <c r="BC25" s="29"/>
    </row>
    <row r="26" spans="1:55" ht="19.8" customHeight="1">
      <c r="B26" s="70"/>
      <c r="D26" s="78" t="s">
        <v>103</v>
      </c>
      <c r="F26" s="7">
        <f>IF(L25="","",IF(MONTH(L25)&lt;&gt;MONTH(L25+1),"",L25+1))</f>
        <v>44389</v>
      </c>
      <c r="G26" s="8">
        <f t="shared" ref="G26:L29" si="32">IF(F26="","",IF(MONTH(F26)&lt;&gt;MONTH(F26+1),"",F26+1))</f>
        <v>44390</v>
      </c>
      <c r="H26" s="8">
        <f t="shared" si="32"/>
        <v>44391</v>
      </c>
      <c r="I26" s="8">
        <f t="shared" si="32"/>
        <v>44392</v>
      </c>
      <c r="J26" s="8">
        <f t="shared" si="32"/>
        <v>44393</v>
      </c>
      <c r="K26" s="8">
        <f t="shared" si="32"/>
        <v>44394</v>
      </c>
      <c r="L26" s="9">
        <f t="shared" si="32"/>
        <v>44395</v>
      </c>
      <c r="N26" s="7">
        <f>IF(T25="","",IF(MONTH(T25)&lt;&gt;MONTH(T25+1),"",T25+1))</f>
        <v>44417</v>
      </c>
      <c r="O26" s="8">
        <f t="shared" ref="O26:T29" si="33">IF(N26="","",IF(MONTH(N26)&lt;&gt;MONTH(N26+1),"",N26+1))</f>
        <v>44418</v>
      </c>
      <c r="P26" s="8">
        <f t="shared" si="33"/>
        <v>44419</v>
      </c>
      <c r="Q26" s="8">
        <f t="shared" si="33"/>
        <v>44420</v>
      </c>
      <c r="R26" s="8">
        <f t="shared" si="33"/>
        <v>44421</v>
      </c>
      <c r="S26" s="8">
        <f t="shared" si="33"/>
        <v>44422</v>
      </c>
      <c r="T26" s="9">
        <f t="shared" si="33"/>
        <v>44423</v>
      </c>
      <c r="V26" s="7">
        <f>IF(AB25="","",IF(MONTH(AB25)&lt;&gt;MONTH(AB25+1),"",AB25+1))</f>
        <v>44452</v>
      </c>
      <c r="W26" s="8">
        <f t="shared" ref="W26:AB29" si="34">IF(V26="","",IF(MONTH(V26)&lt;&gt;MONTH(V26+1),"",V26+1))</f>
        <v>44453</v>
      </c>
      <c r="X26" s="8">
        <f t="shared" si="34"/>
        <v>44454</v>
      </c>
      <c r="Y26" s="8">
        <f t="shared" si="34"/>
        <v>44455</v>
      </c>
      <c r="Z26" s="8">
        <f t="shared" si="34"/>
        <v>44456</v>
      </c>
      <c r="AA26" s="8">
        <f t="shared" si="34"/>
        <v>44457</v>
      </c>
      <c r="AB26" s="9">
        <f t="shared" si="34"/>
        <v>44458</v>
      </c>
      <c r="AD26" s="87"/>
      <c r="AE26" s="87"/>
      <c r="AF26" s="87"/>
      <c r="AG26" s="87"/>
      <c r="AH26" s="87"/>
      <c r="AI26" s="87"/>
      <c r="AJ26" s="87"/>
      <c r="AL26" s="28">
        <f t="shared" si="8"/>
        <v>0.74999999999999989</v>
      </c>
      <c r="AM26" s="29"/>
      <c r="AO26" s="29"/>
      <c r="AQ26" s="29"/>
      <c r="AS26" s="28">
        <f t="shared" si="9"/>
        <v>0.74999999999999989</v>
      </c>
      <c r="AT26" s="51"/>
      <c r="AU26" s="51"/>
      <c r="AV26" s="51"/>
      <c r="AW26" s="51"/>
      <c r="AX26" s="51"/>
      <c r="AY26" s="51"/>
      <c r="AZ26" s="51"/>
      <c r="BB26" s="28">
        <f t="shared" si="10"/>
        <v>0.74999999999999989</v>
      </c>
      <c r="BC26" s="29"/>
    </row>
    <row r="27" spans="1:55" ht="19.8" customHeight="1">
      <c r="A27" s="37" t="s">
        <v>51</v>
      </c>
      <c r="B27" s="71">
        <v>0</v>
      </c>
      <c r="F27" s="7">
        <f>IF(L26="","",IF(MONTH(L26)&lt;&gt;MONTH(L26+1),"",L26+1))</f>
        <v>44396</v>
      </c>
      <c r="G27" s="8">
        <f t="shared" si="32"/>
        <v>44397</v>
      </c>
      <c r="H27" s="8">
        <f t="shared" si="32"/>
        <v>44398</v>
      </c>
      <c r="I27" s="8">
        <f t="shared" si="32"/>
        <v>44399</v>
      </c>
      <c r="J27" s="8">
        <f t="shared" si="32"/>
        <v>44400</v>
      </c>
      <c r="K27" s="8">
        <f t="shared" si="32"/>
        <v>44401</v>
      </c>
      <c r="L27" s="9">
        <f t="shared" si="32"/>
        <v>44402</v>
      </c>
      <c r="N27" s="7">
        <f>IF(T26="","",IF(MONTH(T26)&lt;&gt;MONTH(T26+1),"",T26+1))</f>
        <v>44424</v>
      </c>
      <c r="O27" s="8">
        <f t="shared" si="33"/>
        <v>44425</v>
      </c>
      <c r="P27" s="8">
        <f t="shared" si="33"/>
        <v>44426</v>
      </c>
      <c r="Q27" s="8">
        <f t="shared" si="33"/>
        <v>44427</v>
      </c>
      <c r="R27" s="8">
        <f t="shared" si="33"/>
        <v>44428</v>
      </c>
      <c r="S27" s="8">
        <f t="shared" si="33"/>
        <v>44429</v>
      </c>
      <c r="T27" s="9">
        <f t="shared" si="33"/>
        <v>44430</v>
      </c>
      <c r="V27" s="7">
        <f>IF(AB26="","",IF(MONTH(AB26)&lt;&gt;MONTH(AB26+1),"",AB26+1))</f>
        <v>44459</v>
      </c>
      <c r="W27" s="8">
        <f t="shared" si="34"/>
        <v>44460</v>
      </c>
      <c r="X27" s="8">
        <f t="shared" si="34"/>
        <v>44461</v>
      </c>
      <c r="Y27" s="8">
        <f t="shared" si="34"/>
        <v>44462</v>
      </c>
      <c r="Z27" s="8">
        <f t="shared" si="34"/>
        <v>44463</v>
      </c>
      <c r="AA27" s="8">
        <f t="shared" si="34"/>
        <v>44464</v>
      </c>
      <c r="AB27" s="9">
        <f t="shared" si="34"/>
        <v>44465</v>
      </c>
      <c r="AD27" s="87"/>
      <c r="AE27" s="87"/>
      <c r="AF27" s="87"/>
      <c r="AG27" s="87"/>
      <c r="AH27" s="87"/>
      <c r="AI27" s="87"/>
      <c r="AJ27" s="87"/>
      <c r="AL27" s="28">
        <f t="shared" si="8"/>
        <v>0.77083333333333326</v>
      </c>
      <c r="AM27" s="29"/>
      <c r="AO27" s="29"/>
      <c r="AQ27" s="29"/>
      <c r="AS27" s="28">
        <f t="shared" si="9"/>
        <v>0.77083333333333326</v>
      </c>
      <c r="AT27" s="51"/>
      <c r="AU27" s="51"/>
      <c r="AV27" s="51"/>
      <c r="AW27" s="51"/>
      <c r="AX27" s="51"/>
      <c r="AY27" s="51"/>
      <c r="AZ27" s="51"/>
      <c r="BB27" s="28">
        <f t="shared" si="10"/>
        <v>0.77083333333333326</v>
      </c>
      <c r="BC27" s="29"/>
    </row>
    <row r="28" spans="1:55" ht="19.8" customHeight="1">
      <c r="B28" s="70"/>
      <c r="F28" s="7">
        <f>IF(L27="","",IF(MONTH(L27)&lt;&gt;MONTH(L27+1),"",L27+1))</f>
        <v>44403</v>
      </c>
      <c r="G28" s="8">
        <f t="shared" si="32"/>
        <v>44404</v>
      </c>
      <c r="H28" s="8">
        <f t="shared" si="32"/>
        <v>44405</v>
      </c>
      <c r="I28" s="8">
        <f t="shared" si="32"/>
        <v>44406</v>
      </c>
      <c r="J28" s="8">
        <f t="shared" si="32"/>
        <v>44407</v>
      </c>
      <c r="K28" s="8">
        <f t="shared" si="32"/>
        <v>44408</v>
      </c>
      <c r="L28" s="9" t="str">
        <f t="shared" si="32"/>
        <v/>
      </c>
      <c r="N28" s="7">
        <f>IF(T27="","",IF(MONTH(T27)&lt;&gt;MONTH(T27+1),"",T27+1))</f>
        <v>44431</v>
      </c>
      <c r="O28" s="8">
        <f t="shared" si="33"/>
        <v>44432</v>
      </c>
      <c r="P28" s="8">
        <f t="shared" si="33"/>
        <v>44433</v>
      </c>
      <c r="Q28" s="8">
        <f t="shared" si="33"/>
        <v>44434</v>
      </c>
      <c r="R28" s="8">
        <f t="shared" si="33"/>
        <v>44435</v>
      </c>
      <c r="S28" s="8">
        <f t="shared" si="33"/>
        <v>44436</v>
      </c>
      <c r="T28" s="9">
        <f t="shared" si="33"/>
        <v>44437</v>
      </c>
      <c r="V28" s="7">
        <f>IF(AB27="","",IF(MONTH(AB27)&lt;&gt;MONTH(AB27+1),"",AB27+1))</f>
        <v>44466</v>
      </c>
      <c r="W28" s="8">
        <f t="shared" si="34"/>
        <v>44467</v>
      </c>
      <c r="X28" s="8">
        <f t="shared" si="34"/>
        <v>44468</v>
      </c>
      <c r="Y28" s="8">
        <f t="shared" si="34"/>
        <v>44469</v>
      </c>
      <c r="Z28" s="8" t="str">
        <f t="shared" si="34"/>
        <v/>
      </c>
      <c r="AA28" s="8" t="str">
        <f t="shared" si="34"/>
        <v/>
      </c>
      <c r="AB28" s="9" t="str">
        <f t="shared" si="34"/>
        <v/>
      </c>
      <c r="AD28" s="87"/>
      <c r="AE28" s="87"/>
      <c r="AF28" s="87"/>
      <c r="AG28" s="87"/>
      <c r="AH28" s="87"/>
      <c r="AI28" s="87"/>
      <c r="AJ28" s="87"/>
      <c r="AL28" s="28">
        <f t="shared" si="8"/>
        <v>0.79166666666666663</v>
      </c>
      <c r="AM28" s="29"/>
      <c r="AO28" s="29"/>
      <c r="AQ28" s="29"/>
      <c r="AS28" s="28">
        <f t="shared" si="9"/>
        <v>0.79166666666666663</v>
      </c>
      <c r="AT28" s="51"/>
      <c r="AU28" s="51"/>
      <c r="AV28" s="51"/>
      <c r="AW28" s="51"/>
      <c r="AX28" s="51"/>
      <c r="AY28" s="51"/>
      <c r="AZ28" s="51"/>
      <c r="BB28" s="28">
        <f t="shared" si="10"/>
        <v>0.79166666666666663</v>
      </c>
      <c r="BC28" s="29"/>
    </row>
    <row r="29" spans="1:55" ht="19.8" customHeight="1">
      <c r="A29" s="37" t="s">
        <v>52</v>
      </c>
      <c r="B29" s="71">
        <v>11</v>
      </c>
      <c r="F29" s="10" t="str">
        <f>IF(L28="","",IF(MONTH(L28)&lt;&gt;MONTH(L28+1),"",L28+1))</f>
        <v/>
      </c>
      <c r="G29" s="11" t="str">
        <f t="shared" si="32"/>
        <v/>
      </c>
      <c r="H29" s="11" t="str">
        <f t="shared" si="32"/>
        <v/>
      </c>
      <c r="I29" s="11" t="str">
        <f t="shared" si="32"/>
        <v/>
      </c>
      <c r="J29" s="11" t="str">
        <f t="shared" si="32"/>
        <v/>
      </c>
      <c r="K29" s="11" t="str">
        <f t="shared" si="32"/>
        <v/>
      </c>
      <c r="L29" s="12" t="str">
        <f t="shared" si="32"/>
        <v/>
      </c>
      <c r="N29" s="10">
        <f>IF(T28="","",IF(MONTH(T28)&lt;&gt;MONTH(T28+1),"",T28+1))</f>
        <v>44438</v>
      </c>
      <c r="O29" s="11">
        <f t="shared" si="33"/>
        <v>44439</v>
      </c>
      <c r="P29" s="11" t="str">
        <f t="shared" si="33"/>
        <v/>
      </c>
      <c r="Q29" s="11" t="str">
        <f t="shared" si="33"/>
        <v/>
      </c>
      <c r="R29" s="11" t="str">
        <f t="shared" si="33"/>
        <v/>
      </c>
      <c r="S29" s="11" t="str">
        <f t="shared" si="33"/>
        <v/>
      </c>
      <c r="T29" s="12" t="str">
        <f t="shared" si="33"/>
        <v/>
      </c>
      <c r="V29" s="10" t="str">
        <f>IF(AB28="","",IF(MONTH(AB28)&lt;&gt;MONTH(AB28+1),"",AB28+1))</f>
        <v/>
      </c>
      <c r="W29" s="11" t="str">
        <f t="shared" si="34"/>
        <v/>
      </c>
      <c r="X29" s="11" t="str">
        <f t="shared" si="34"/>
        <v/>
      </c>
      <c r="Y29" s="11" t="str">
        <f t="shared" si="34"/>
        <v/>
      </c>
      <c r="Z29" s="11" t="str">
        <f t="shared" si="34"/>
        <v/>
      </c>
      <c r="AA29" s="11" t="str">
        <f t="shared" si="34"/>
        <v/>
      </c>
      <c r="AB29" s="12" t="str">
        <f t="shared" si="34"/>
        <v/>
      </c>
      <c r="AD29" s="88"/>
      <c r="AE29" s="88"/>
      <c r="AF29" s="88"/>
      <c r="AG29" s="88"/>
      <c r="AH29" s="88"/>
      <c r="AI29" s="88"/>
      <c r="AJ29" s="88"/>
      <c r="AL29" s="28">
        <f t="shared" si="8"/>
        <v>0.8125</v>
      </c>
      <c r="AM29" s="29"/>
      <c r="AO29" s="29"/>
      <c r="AQ29" s="29"/>
      <c r="AS29" s="28">
        <f t="shared" si="9"/>
        <v>0.8125</v>
      </c>
      <c r="AT29" s="51"/>
      <c r="AU29" s="51"/>
      <c r="AV29" s="51"/>
      <c r="AW29" s="51"/>
      <c r="AX29" s="51"/>
      <c r="AY29" s="51"/>
      <c r="AZ29" s="51"/>
      <c r="BB29" s="28">
        <f t="shared" si="10"/>
        <v>0.8125</v>
      </c>
      <c r="BC29" s="29"/>
    </row>
    <row r="30" spans="1:55" ht="19.8" customHeight="1">
      <c r="B30" s="70"/>
      <c r="AD30" s="39">
        <f>IF(MONTH(AJ24+1)&lt;&gt;SelMonth,"",AJ24+1)</f>
        <v>44557</v>
      </c>
      <c r="AE30" s="39">
        <f t="shared" ref="AE30:AJ30" si="35">IF(AD30="","",IF(MONTH(AD30+1)&lt;&gt;SelMonth,"",AD30+1))</f>
        <v>44558</v>
      </c>
      <c r="AF30" s="39">
        <f t="shared" si="35"/>
        <v>44559</v>
      </c>
      <c r="AG30" s="39">
        <f t="shared" si="35"/>
        <v>44560</v>
      </c>
      <c r="AH30" s="39">
        <f>IF(AG30="","",IF(MONTH(AG30+1)&lt;&gt;SelMonth,"",AG30+1))</f>
        <v>44561</v>
      </c>
      <c r="AI30" s="39" t="str">
        <f>IF(AH30="","",IF(MONTH(AH30+1)&lt;&gt;SelMonth,"",AH30+1))</f>
        <v/>
      </c>
      <c r="AJ30" s="39" t="str">
        <f t="shared" si="35"/>
        <v/>
      </c>
      <c r="AL30" s="28">
        <f t="shared" si="8"/>
        <v>0.83333333333333337</v>
      </c>
      <c r="AM30" s="29"/>
      <c r="AO30" s="29"/>
      <c r="AQ30" s="29"/>
      <c r="AS30" s="28">
        <f t="shared" si="9"/>
        <v>0.83333333333333337</v>
      </c>
      <c r="AT30" s="51"/>
      <c r="AU30" s="51"/>
      <c r="AV30" s="51"/>
      <c r="AW30" s="51"/>
      <c r="AX30" s="51"/>
      <c r="AY30" s="51"/>
      <c r="AZ30" s="51"/>
      <c r="BB30" s="28">
        <f t="shared" si="10"/>
        <v>0.83333333333333337</v>
      </c>
      <c r="BC30" s="29"/>
    </row>
    <row r="31" spans="1:55" ht="19.8" customHeight="1">
      <c r="A31" s="37" t="s">
        <v>54</v>
      </c>
      <c r="B31" s="71">
        <f ca="1">IFERROR(MATCH(DATE(ScYear,SelMonth,1),INDIRECT("'"&amp;ScYear&amp;"'!A1:NB1",TRUE),0),"")</f>
        <v>335</v>
      </c>
      <c r="F31" s="89">
        <f>DATE(ScYear,10,1)</f>
        <v>44470</v>
      </c>
      <c r="G31" s="90"/>
      <c r="H31" s="90"/>
      <c r="I31" s="90"/>
      <c r="J31" s="90"/>
      <c r="K31" s="90"/>
      <c r="L31" s="91"/>
      <c r="N31" s="89">
        <f>DATE(ScYear,11,1)</f>
        <v>44501</v>
      </c>
      <c r="O31" s="90"/>
      <c r="P31" s="90"/>
      <c r="Q31" s="90"/>
      <c r="R31" s="90"/>
      <c r="S31" s="90"/>
      <c r="T31" s="91"/>
      <c r="V31" s="89">
        <f>DATE(ScYear,12,1)</f>
        <v>44531</v>
      </c>
      <c r="W31" s="90"/>
      <c r="X31" s="90"/>
      <c r="Y31" s="90"/>
      <c r="Z31" s="90"/>
      <c r="AA31" s="90"/>
      <c r="AB31" s="91"/>
      <c r="AD31" s="97"/>
      <c r="AE31" s="100"/>
      <c r="AF31" s="97"/>
      <c r="AG31" s="100"/>
      <c r="AH31" s="100"/>
      <c r="AI31" s="97"/>
      <c r="AJ31" s="97"/>
      <c r="AL31" s="28">
        <f>AL30+Interval</f>
        <v>0.85416666666666674</v>
      </c>
      <c r="AM31" s="29"/>
      <c r="AO31" s="29"/>
      <c r="AQ31" s="29"/>
      <c r="AS31" s="28">
        <f t="shared" si="9"/>
        <v>0.85416666666666674</v>
      </c>
      <c r="AT31" s="51"/>
      <c r="AU31" s="51"/>
      <c r="AV31" s="51"/>
      <c r="AW31" s="51"/>
      <c r="AX31" s="51"/>
      <c r="AY31" s="51"/>
      <c r="AZ31" s="51"/>
      <c r="BB31" s="28">
        <f>BB30+Interval</f>
        <v>0.85416666666666674</v>
      </c>
      <c r="BC31" s="29"/>
    </row>
    <row r="32" spans="1:55" ht="19.8" customHeight="1">
      <c r="A32" s="37" t="s">
        <v>55</v>
      </c>
      <c r="B32" s="71">
        <f ca="1">IFERROR(MATCH(EOMONTH(DATE(ScYear,SelMonth,1),0),INDIRECT("'"&amp;ScYear&amp;"'!A1:NB1",TRUE),0),"")</f>
        <v>365</v>
      </c>
      <c r="D32" s="55"/>
      <c r="F32" s="1" t="str">
        <f>INDEX(DayAbb,MATCH(StartDay,Days,0),1)</f>
        <v>Mo</v>
      </c>
      <c r="G32" s="2" t="str">
        <f t="shared" ref="G32:L32" si="36">IF(MATCH(F32,DayAbb,0)=7,$AM$9,INDEX(DayAbb,MATCH(F32,DayAbb,0)+1,1))</f>
        <v>Tu</v>
      </c>
      <c r="H32" s="2" t="str">
        <f t="shared" si="36"/>
        <v>We</v>
      </c>
      <c r="I32" s="2" t="str">
        <f t="shared" si="36"/>
        <v>Th</v>
      </c>
      <c r="J32" s="2" t="str">
        <f t="shared" si="36"/>
        <v>Fr</v>
      </c>
      <c r="K32" s="2" t="str">
        <f t="shared" si="36"/>
        <v>Sa</v>
      </c>
      <c r="L32" s="3" t="str">
        <f t="shared" si="36"/>
        <v>Su</v>
      </c>
      <c r="N32" s="1" t="str">
        <f>INDEX(DayAbb,MATCH(StartDay,Days,0),1)</f>
        <v>Mo</v>
      </c>
      <c r="O32" s="2" t="str">
        <f t="shared" ref="O32:T32" si="37">IF(MATCH(N32,DayAbb,0)=7,$AM$9,INDEX(DayAbb,MATCH(N32,DayAbb,0)+1,1))</f>
        <v>Tu</v>
      </c>
      <c r="P32" s="2" t="str">
        <f t="shared" si="37"/>
        <v>We</v>
      </c>
      <c r="Q32" s="2" t="str">
        <f t="shared" si="37"/>
        <v>Th</v>
      </c>
      <c r="R32" s="2" t="str">
        <f t="shared" si="37"/>
        <v>Fr</v>
      </c>
      <c r="S32" s="2" t="str">
        <f t="shared" si="37"/>
        <v>Sa</v>
      </c>
      <c r="T32" s="3" t="str">
        <f t="shared" si="37"/>
        <v>Su</v>
      </c>
      <c r="V32" s="1" t="str">
        <f>INDEX(DayAbb,MATCH(StartDay,Days,0),1)</f>
        <v>Mo</v>
      </c>
      <c r="W32" s="2" t="str">
        <f t="shared" ref="W32:AB32" si="38">IF(MATCH(V32,DayAbb,0)=7,$AM$9,INDEX(DayAbb,MATCH(V32,DayAbb,0)+1,1))</f>
        <v>Tu</v>
      </c>
      <c r="X32" s="2" t="str">
        <f t="shared" si="38"/>
        <v>We</v>
      </c>
      <c r="Y32" s="2" t="str">
        <f t="shared" si="38"/>
        <v>Th</v>
      </c>
      <c r="Z32" s="2" t="str">
        <f t="shared" si="38"/>
        <v>Fr</v>
      </c>
      <c r="AA32" s="2" t="str">
        <f t="shared" si="38"/>
        <v>Sa</v>
      </c>
      <c r="AB32" s="3" t="str">
        <f t="shared" si="38"/>
        <v>Su</v>
      </c>
      <c r="AD32" s="98"/>
      <c r="AE32" s="101"/>
      <c r="AF32" s="98"/>
      <c r="AG32" s="98"/>
      <c r="AH32" s="98"/>
      <c r="AI32" s="98"/>
      <c r="AJ32" s="98"/>
      <c r="AL32" s="28">
        <f t="shared" si="8"/>
        <v>0.87500000000000011</v>
      </c>
      <c r="AM32" s="29"/>
      <c r="AO32" s="29"/>
      <c r="AQ32" s="29"/>
      <c r="AS32" s="28">
        <f t="shared" si="9"/>
        <v>0.87500000000000011</v>
      </c>
      <c r="AT32" s="51"/>
      <c r="AU32" s="51"/>
      <c r="AV32" s="51"/>
      <c r="AW32" s="51"/>
      <c r="AX32" s="51"/>
      <c r="AY32" s="51"/>
      <c r="AZ32" s="51"/>
      <c r="BB32" s="28">
        <f t="shared" si="10"/>
        <v>0.87500000000000011</v>
      </c>
      <c r="BC32" s="29"/>
    </row>
    <row r="33" spans="1:55" ht="19.8" customHeight="1">
      <c r="C33" s="55"/>
      <c r="D33" s="55"/>
      <c r="F33" s="4" t="str">
        <f>IF(WEEKDAY(F31,2)=StartDayNumb,F31,"")</f>
        <v/>
      </c>
      <c r="G33" s="5" t="str">
        <f>IF(F33&lt;&gt;"",F33+1,IF(WEEKDAY(F31,2)=MOD(StartDayNumb,7)+1,F31,""))</f>
        <v/>
      </c>
      <c r="H33" s="5" t="str">
        <f>IF(G33&lt;&gt;"",G33+1,IF(WEEKDAY(F31,2)=MOD(StartDayNumb+1,7)+1,F31,""))</f>
        <v/>
      </c>
      <c r="I33" s="5" t="str">
        <f>IF(H33&lt;&gt;"",H33+1,IF(WEEKDAY(F31,2)=MOD(StartDayNumb+2,7)+1,F31,""))</f>
        <v/>
      </c>
      <c r="J33" s="5">
        <f>IF(I33&lt;&gt;"",I33+1,IF(WEEKDAY(F31,2)=MOD(StartDayNumb+3,7)+1,F31,""))</f>
        <v>44470</v>
      </c>
      <c r="K33" s="5">
        <f>IF(J33&lt;&gt;"",J33+1,IF(WEEKDAY(F31,2)=MOD(StartDayNumb+4,7)+1,F31,""))</f>
        <v>44471</v>
      </c>
      <c r="L33" s="6">
        <f>IF(K33&lt;&gt;"",K33+1,IF(WEEKDAY(F31,2)=MOD(StartDayNumb+5,7)+1,F31,""))</f>
        <v>44472</v>
      </c>
      <c r="N33" s="4">
        <f>IF(WEEKDAY(N31,2)=StartDayNumb,N31,"")</f>
        <v>44501</v>
      </c>
      <c r="O33" s="5">
        <f>IF(N33&lt;&gt;"",N33+1,IF(WEEKDAY(N31,2)=MOD(StartDayNumb,7)+1,N31,""))</f>
        <v>44502</v>
      </c>
      <c r="P33" s="5">
        <f>IF(O33&lt;&gt;"",O33+1,IF(WEEKDAY(N31,2)=MOD(StartDayNumb+1,7)+1,N31,""))</f>
        <v>44503</v>
      </c>
      <c r="Q33" s="5">
        <f>IF(P33&lt;&gt;"",P33+1,IF(WEEKDAY(N31,2)=MOD(StartDayNumb+2,7)+1,N31,""))</f>
        <v>44504</v>
      </c>
      <c r="R33" s="5">
        <f>IF(Q33&lt;&gt;"",Q33+1,IF(WEEKDAY(N31,2)=MOD(StartDayNumb+3,7)+1,N31,""))</f>
        <v>44505</v>
      </c>
      <c r="S33" s="5">
        <f>IF(R33&lt;&gt;"",R33+1,IF(WEEKDAY(N31,2)=MOD(StartDayNumb+4,7)+1,N31,""))</f>
        <v>44506</v>
      </c>
      <c r="T33" s="6">
        <f>IF(S33&lt;&gt;"",S33+1,IF(WEEKDAY(N31,2)=MOD(StartDayNumb+5,7)+1,N31,""))</f>
        <v>44507</v>
      </c>
      <c r="V33" s="4" t="str">
        <f>IF(WEEKDAY(V31,2)=StartDayNumb,V31,"")</f>
        <v/>
      </c>
      <c r="W33" s="5" t="str">
        <f>IF(V33&lt;&gt;"",V33+1,IF(WEEKDAY(V31,2)=MOD(StartDayNumb,7)+1,V31,""))</f>
        <v/>
      </c>
      <c r="X33" s="5">
        <f>IF(W33&lt;&gt;"",W33+1,IF(WEEKDAY(V31,2)=MOD(StartDayNumb+1,7)+1,V31,""))</f>
        <v>44531</v>
      </c>
      <c r="Y33" s="5">
        <f>IF(X33&lt;&gt;"",X33+1,IF(WEEKDAY(V31,2)=MOD(StartDayNumb+2,7)+1,V31,""))</f>
        <v>44532</v>
      </c>
      <c r="Z33" s="5">
        <f>IF(Y33&lt;&gt;"",Y33+1,IF(WEEKDAY(V31,2)=MOD(StartDayNumb+3,7)+1,V31,""))</f>
        <v>44533</v>
      </c>
      <c r="AA33" s="5">
        <f>IF(Z33&lt;&gt;"",Z33+1,IF(WEEKDAY(V31,2)=MOD(StartDayNumb+4,7)+1,V31,""))</f>
        <v>44534</v>
      </c>
      <c r="AB33" s="6">
        <f>IF(AA33&lt;&gt;"",AA33+1,IF(WEEKDAY(V31,2)=MOD(StartDayNumb+5,7)+1,V31,""))</f>
        <v>44535</v>
      </c>
      <c r="AD33" s="98"/>
      <c r="AE33" s="101"/>
      <c r="AF33" s="98"/>
      <c r="AG33" s="98"/>
      <c r="AH33" s="98"/>
      <c r="AI33" s="98"/>
      <c r="AJ33" s="98"/>
      <c r="AL33" s="28">
        <f t="shared" si="8"/>
        <v>0.89583333333333348</v>
      </c>
      <c r="AM33" s="29"/>
      <c r="AO33" s="29"/>
      <c r="AQ33" s="29"/>
      <c r="AS33" s="28">
        <f t="shared" si="9"/>
        <v>0.89583333333333348</v>
      </c>
      <c r="AT33" s="51"/>
      <c r="AU33" s="51"/>
      <c r="AV33" s="51"/>
      <c r="AW33" s="51"/>
      <c r="AX33" s="51"/>
      <c r="AY33" s="51"/>
      <c r="AZ33" s="51"/>
      <c r="BB33" s="28">
        <f t="shared" si="10"/>
        <v>0.89583333333333348</v>
      </c>
      <c r="BC33" s="29"/>
    </row>
    <row r="34" spans="1:55" ht="19.8" customHeight="1">
      <c r="A34" s="68" t="s">
        <v>96</v>
      </c>
      <c r="C34" s="55"/>
      <c r="D34" s="55"/>
      <c r="F34" s="7">
        <f>IF(L33="","",IF(MONTH(L33)&lt;&gt;MONTH(L33+1),"",L33+1))</f>
        <v>44473</v>
      </c>
      <c r="G34" s="8">
        <f t="shared" ref="G34:L38" si="39">IF(F34="","",IF(MONTH(F34)&lt;&gt;MONTH(F34+1),"",F34+1))</f>
        <v>44474</v>
      </c>
      <c r="H34" s="8">
        <f t="shared" si="39"/>
        <v>44475</v>
      </c>
      <c r="I34" s="8">
        <f t="shared" si="39"/>
        <v>44476</v>
      </c>
      <c r="J34" s="8">
        <f t="shared" si="39"/>
        <v>44477</v>
      </c>
      <c r="K34" s="8">
        <f t="shared" si="39"/>
        <v>44478</v>
      </c>
      <c r="L34" s="9">
        <f t="shared" si="39"/>
        <v>44479</v>
      </c>
      <c r="N34" s="7">
        <f>IF(T33="","",IF(MONTH(T33)&lt;&gt;MONTH(T33+1),"",T33+1))</f>
        <v>44508</v>
      </c>
      <c r="O34" s="8">
        <f t="shared" ref="O34:T38" si="40">IF(N34="","",IF(MONTH(N34)&lt;&gt;MONTH(N34+1),"",N34+1))</f>
        <v>44509</v>
      </c>
      <c r="P34" s="8">
        <f t="shared" si="40"/>
        <v>44510</v>
      </c>
      <c r="Q34" s="8">
        <f t="shared" si="40"/>
        <v>44511</v>
      </c>
      <c r="R34" s="8">
        <f t="shared" si="40"/>
        <v>44512</v>
      </c>
      <c r="S34" s="8">
        <f t="shared" si="40"/>
        <v>44513</v>
      </c>
      <c r="T34" s="9">
        <f t="shared" si="40"/>
        <v>44514</v>
      </c>
      <c r="V34" s="7">
        <f>IF(AB33="","",IF(MONTH(AB33)&lt;&gt;MONTH(AB33+1),"",AB33+1))</f>
        <v>44536</v>
      </c>
      <c r="W34" s="8">
        <f t="shared" ref="W34:AB38" si="41">IF(V34="","",IF(MONTH(V34)&lt;&gt;MONTH(V34+1),"",V34+1))</f>
        <v>44537</v>
      </c>
      <c r="X34" s="8">
        <f t="shared" si="41"/>
        <v>44538</v>
      </c>
      <c r="Y34" s="8">
        <f t="shared" si="41"/>
        <v>44539</v>
      </c>
      <c r="Z34" s="8">
        <f t="shared" si="41"/>
        <v>44540</v>
      </c>
      <c r="AA34" s="8">
        <f t="shared" si="41"/>
        <v>44541</v>
      </c>
      <c r="AB34" s="9">
        <f t="shared" si="41"/>
        <v>44542</v>
      </c>
      <c r="AD34" s="98"/>
      <c r="AE34" s="101"/>
      <c r="AF34" s="98"/>
      <c r="AG34" s="98"/>
      <c r="AH34" s="98"/>
      <c r="AI34" s="98"/>
      <c r="AJ34" s="98"/>
      <c r="AL34" s="28">
        <f t="shared" si="8"/>
        <v>0.91666666666666685</v>
      </c>
      <c r="AM34" s="29"/>
      <c r="AO34" s="29"/>
      <c r="AQ34" s="29"/>
      <c r="AS34" s="28">
        <f t="shared" si="9"/>
        <v>0.91666666666666685</v>
      </c>
      <c r="AT34" s="51"/>
      <c r="AU34" s="51"/>
      <c r="AV34" s="51"/>
      <c r="AW34" s="51"/>
      <c r="AX34" s="51"/>
      <c r="AY34" s="51"/>
      <c r="AZ34" s="51"/>
      <c r="BB34" s="28">
        <f t="shared" si="10"/>
        <v>0.91666666666666685</v>
      </c>
      <c r="BC34" s="29"/>
    </row>
    <row r="35" spans="1:55" ht="19.8" customHeight="1">
      <c r="A35" s="69" t="s">
        <v>91</v>
      </c>
      <c r="C35" s="55"/>
      <c r="D35" s="55"/>
      <c r="F35" s="7">
        <f>IF(L34="","",IF(MONTH(L34)&lt;&gt;MONTH(L34+1),"",L34+1))</f>
        <v>44480</v>
      </c>
      <c r="G35" s="8">
        <f t="shared" si="39"/>
        <v>44481</v>
      </c>
      <c r="H35" s="8">
        <f t="shared" si="39"/>
        <v>44482</v>
      </c>
      <c r="I35" s="8">
        <f t="shared" si="39"/>
        <v>44483</v>
      </c>
      <c r="J35" s="8">
        <f t="shared" si="39"/>
        <v>44484</v>
      </c>
      <c r="K35" s="8">
        <f t="shared" si="39"/>
        <v>44485</v>
      </c>
      <c r="L35" s="9">
        <f t="shared" si="39"/>
        <v>44486</v>
      </c>
      <c r="N35" s="7">
        <f>IF(T34="","",IF(MONTH(T34)&lt;&gt;MONTH(T34+1),"",T34+1))</f>
        <v>44515</v>
      </c>
      <c r="O35" s="8">
        <f t="shared" si="40"/>
        <v>44516</v>
      </c>
      <c r="P35" s="8">
        <f t="shared" si="40"/>
        <v>44517</v>
      </c>
      <c r="Q35" s="8">
        <f t="shared" si="40"/>
        <v>44518</v>
      </c>
      <c r="R35" s="8">
        <f t="shared" si="40"/>
        <v>44519</v>
      </c>
      <c r="S35" s="8">
        <f t="shared" si="40"/>
        <v>44520</v>
      </c>
      <c r="T35" s="9">
        <f t="shared" si="40"/>
        <v>44521</v>
      </c>
      <c r="V35" s="7">
        <f>IF(AB34="","",IF(MONTH(AB34)&lt;&gt;MONTH(AB34+1),"",AB34+1))</f>
        <v>44543</v>
      </c>
      <c r="W35" s="8">
        <f t="shared" si="41"/>
        <v>44544</v>
      </c>
      <c r="X35" s="8">
        <f t="shared" si="41"/>
        <v>44545</v>
      </c>
      <c r="Y35" s="8">
        <f t="shared" si="41"/>
        <v>44546</v>
      </c>
      <c r="Z35" s="8">
        <f t="shared" si="41"/>
        <v>44547</v>
      </c>
      <c r="AA35" s="8">
        <f t="shared" si="41"/>
        <v>44548</v>
      </c>
      <c r="AB35" s="9">
        <f t="shared" si="41"/>
        <v>44549</v>
      </c>
      <c r="AD35" s="99"/>
      <c r="AE35" s="102"/>
      <c r="AF35" s="99"/>
      <c r="AG35" s="99"/>
      <c r="AH35" s="99"/>
      <c r="AI35" s="99"/>
      <c r="AJ35" s="99"/>
      <c r="AL35" s="28">
        <f t="shared" si="8"/>
        <v>0.93750000000000022</v>
      </c>
      <c r="AM35" s="29"/>
      <c r="AO35" s="29"/>
      <c r="AQ35" s="29"/>
      <c r="AS35" s="28">
        <f t="shared" si="9"/>
        <v>0.93750000000000022</v>
      </c>
      <c r="AT35" s="51"/>
      <c r="AU35" s="51"/>
      <c r="AV35" s="51"/>
      <c r="AW35" s="51"/>
      <c r="AX35" s="51"/>
      <c r="AY35" s="51"/>
      <c r="AZ35" s="51"/>
      <c r="BB35" s="28">
        <f t="shared" si="10"/>
        <v>0.93750000000000022</v>
      </c>
      <c r="BC35" s="29"/>
    </row>
    <row r="36" spans="1:55" ht="19.8" customHeight="1">
      <c r="A36" s="69" t="s">
        <v>92</v>
      </c>
      <c r="C36" s="55"/>
      <c r="D36" s="55"/>
      <c r="F36" s="7">
        <f>IF(L35="","",IF(MONTH(L35)&lt;&gt;MONTH(L35+1),"",L35+1))</f>
        <v>44487</v>
      </c>
      <c r="G36" s="8">
        <f t="shared" si="39"/>
        <v>44488</v>
      </c>
      <c r="H36" s="8">
        <f t="shared" si="39"/>
        <v>44489</v>
      </c>
      <c r="I36" s="8">
        <f t="shared" si="39"/>
        <v>44490</v>
      </c>
      <c r="J36" s="8">
        <f t="shared" si="39"/>
        <v>44491</v>
      </c>
      <c r="K36" s="8">
        <f t="shared" si="39"/>
        <v>44492</v>
      </c>
      <c r="L36" s="9">
        <f t="shared" si="39"/>
        <v>44493</v>
      </c>
      <c r="N36" s="7">
        <f>IF(T35="","",IF(MONTH(T35)&lt;&gt;MONTH(T35+1),"",T35+1))</f>
        <v>44522</v>
      </c>
      <c r="O36" s="8">
        <f t="shared" si="40"/>
        <v>44523</v>
      </c>
      <c r="P36" s="8">
        <f t="shared" si="40"/>
        <v>44524</v>
      </c>
      <c r="Q36" s="8">
        <f t="shared" si="40"/>
        <v>44525</v>
      </c>
      <c r="R36" s="8">
        <f t="shared" si="40"/>
        <v>44526</v>
      </c>
      <c r="S36" s="8">
        <f t="shared" si="40"/>
        <v>44527</v>
      </c>
      <c r="T36" s="9">
        <f t="shared" si="40"/>
        <v>44528</v>
      </c>
      <c r="V36" s="7">
        <f>IF(AB35="","",IF(MONTH(AB35)&lt;&gt;MONTH(AB35+1),"",AB35+1))</f>
        <v>44550</v>
      </c>
      <c r="W36" s="8">
        <f t="shared" si="41"/>
        <v>44551</v>
      </c>
      <c r="X36" s="8">
        <f t="shared" si="41"/>
        <v>44552</v>
      </c>
      <c r="Y36" s="8">
        <f t="shared" si="41"/>
        <v>44553</v>
      </c>
      <c r="Z36" s="8">
        <f t="shared" si="41"/>
        <v>44554</v>
      </c>
      <c r="AA36" s="8">
        <f t="shared" si="41"/>
        <v>44555</v>
      </c>
      <c r="AB36" s="9">
        <f t="shared" si="41"/>
        <v>44556</v>
      </c>
      <c r="AD36" s="39" t="str">
        <f>IF(AJ30="","",IF(MONTH(AJ30+1)&lt;&gt;SelMonth,"",AJ30+1))</f>
        <v/>
      </c>
      <c r="AE36" s="39" t="str">
        <f t="shared" ref="AE36:AJ36" si="42">IF(AD36="","",IF(MONTH(AD36+1)&lt;&gt;SelMonth,"",AD36+1))</f>
        <v/>
      </c>
      <c r="AF36" s="39" t="str">
        <f t="shared" si="42"/>
        <v/>
      </c>
      <c r="AG36" s="39" t="str">
        <f t="shared" si="42"/>
        <v/>
      </c>
      <c r="AH36" s="39" t="str">
        <f t="shared" si="42"/>
        <v/>
      </c>
      <c r="AI36" s="39" t="str">
        <f t="shared" si="42"/>
        <v/>
      </c>
      <c r="AJ36" s="39" t="str">
        <f t="shared" si="42"/>
        <v/>
      </c>
      <c r="AL36" s="28">
        <f t="shared" si="8"/>
        <v>0.95833333333333359</v>
      </c>
      <c r="AM36" s="29"/>
      <c r="AO36" s="29"/>
      <c r="AQ36" s="29"/>
      <c r="AS36" s="28">
        <f t="shared" si="9"/>
        <v>0.95833333333333359</v>
      </c>
      <c r="AT36" s="51"/>
      <c r="AU36" s="51"/>
      <c r="AV36" s="51"/>
      <c r="AW36" s="51"/>
      <c r="AX36" s="51"/>
      <c r="AY36" s="51"/>
      <c r="AZ36" s="51"/>
      <c r="BB36" s="28">
        <f t="shared" si="10"/>
        <v>0.95833333333333359</v>
      </c>
      <c r="BC36" s="29"/>
    </row>
    <row r="37" spans="1:55" ht="19.8" customHeight="1">
      <c r="C37" s="55"/>
      <c r="D37" s="55"/>
      <c r="F37" s="7">
        <f>IF(L36="","",IF(MONTH(L36)&lt;&gt;MONTH(L36+1),"",L36+1))</f>
        <v>44494</v>
      </c>
      <c r="G37" s="8">
        <f t="shared" si="39"/>
        <v>44495</v>
      </c>
      <c r="H37" s="8">
        <f t="shared" si="39"/>
        <v>44496</v>
      </c>
      <c r="I37" s="8">
        <f t="shared" si="39"/>
        <v>44497</v>
      </c>
      <c r="J37" s="8">
        <f t="shared" si="39"/>
        <v>44498</v>
      </c>
      <c r="K37" s="8">
        <f t="shared" si="39"/>
        <v>44499</v>
      </c>
      <c r="L37" s="9">
        <f t="shared" si="39"/>
        <v>44500</v>
      </c>
      <c r="N37" s="7">
        <f>IF(T36="","",IF(MONTH(T36)&lt;&gt;MONTH(T36+1),"",T36+1))</f>
        <v>44529</v>
      </c>
      <c r="O37" s="8">
        <f t="shared" si="40"/>
        <v>44530</v>
      </c>
      <c r="P37" s="8" t="str">
        <f t="shared" si="40"/>
        <v/>
      </c>
      <c r="Q37" s="8" t="str">
        <f t="shared" si="40"/>
        <v/>
      </c>
      <c r="R37" s="8" t="str">
        <f t="shared" si="40"/>
        <v/>
      </c>
      <c r="S37" s="8" t="str">
        <f t="shared" si="40"/>
        <v/>
      </c>
      <c r="T37" s="9" t="str">
        <f t="shared" si="40"/>
        <v/>
      </c>
      <c r="V37" s="7">
        <f>IF(AB36="","",IF(MONTH(AB36)&lt;&gt;MONTH(AB36+1),"",AB36+1))</f>
        <v>44557</v>
      </c>
      <c r="W37" s="8">
        <f t="shared" si="41"/>
        <v>44558</v>
      </c>
      <c r="X37" s="8">
        <f t="shared" si="41"/>
        <v>44559</v>
      </c>
      <c r="Y37" s="8">
        <f t="shared" si="41"/>
        <v>44560</v>
      </c>
      <c r="Z37" s="8">
        <f t="shared" si="41"/>
        <v>44561</v>
      </c>
      <c r="AA37" s="8" t="str">
        <f t="shared" si="41"/>
        <v/>
      </c>
      <c r="AB37" s="9" t="str">
        <f t="shared" si="41"/>
        <v/>
      </c>
      <c r="AD37" s="97"/>
      <c r="AE37" s="97"/>
      <c r="AF37" s="97"/>
      <c r="AG37" s="97"/>
      <c r="AH37" s="97"/>
      <c r="AI37" s="97"/>
      <c r="AJ37" s="97"/>
      <c r="AL37" s="28">
        <f t="shared" si="8"/>
        <v>0.97916666666666696</v>
      </c>
      <c r="AM37" s="29"/>
      <c r="AO37" s="29"/>
      <c r="AQ37" s="29"/>
      <c r="AS37" s="28">
        <f t="shared" si="9"/>
        <v>0.97916666666666696</v>
      </c>
      <c r="AT37" s="51"/>
      <c r="AU37" s="51"/>
      <c r="AV37" s="51"/>
      <c r="AW37" s="51"/>
      <c r="AX37" s="51"/>
      <c r="AY37" s="51"/>
      <c r="AZ37" s="51"/>
      <c r="BB37" s="28">
        <f t="shared" si="10"/>
        <v>0.97916666666666696</v>
      </c>
      <c r="BC37" s="29"/>
    </row>
    <row r="38" spans="1:55" ht="19.8" customHeight="1">
      <c r="A38" s="35" t="s">
        <v>31</v>
      </c>
      <c r="B38" s="40" t="s">
        <v>36</v>
      </c>
      <c r="C38" s="55"/>
      <c r="F38" s="10" t="str">
        <f>IF(L37="","",IF(MONTH(L37)&lt;&gt;MONTH(L37+1),"",L37+1))</f>
        <v/>
      </c>
      <c r="G38" s="11" t="str">
        <f t="shared" si="39"/>
        <v/>
      </c>
      <c r="H38" s="11" t="str">
        <f t="shared" si="39"/>
        <v/>
      </c>
      <c r="I38" s="11" t="str">
        <f t="shared" si="39"/>
        <v/>
      </c>
      <c r="J38" s="11" t="str">
        <f t="shared" si="39"/>
        <v/>
      </c>
      <c r="K38" s="11" t="str">
        <f t="shared" si="39"/>
        <v/>
      </c>
      <c r="L38" s="12" t="str">
        <f t="shared" si="39"/>
        <v/>
      </c>
      <c r="N38" s="10" t="str">
        <f>IF(T37="","",IF(MONTH(T37)&lt;&gt;MONTH(T37+1),"",T37+1))</f>
        <v/>
      </c>
      <c r="O38" s="11" t="str">
        <f t="shared" si="40"/>
        <v/>
      </c>
      <c r="P38" s="11" t="str">
        <f t="shared" si="40"/>
        <v/>
      </c>
      <c r="Q38" s="11" t="str">
        <f t="shared" si="40"/>
        <v/>
      </c>
      <c r="R38" s="11" t="str">
        <f t="shared" si="40"/>
        <v/>
      </c>
      <c r="S38" s="11" t="str">
        <f t="shared" si="40"/>
        <v/>
      </c>
      <c r="T38" s="12" t="str">
        <f t="shared" si="40"/>
        <v/>
      </c>
      <c r="V38" s="10" t="str">
        <f>IF(AB37="","",IF(MONTH(AB37)&lt;&gt;MONTH(AB37+1),"",AB37+1))</f>
        <v/>
      </c>
      <c r="W38" s="11" t="str">
        <f t="shared" si="41"/>
        <v/>
      </c>
      <c r="X38" s="11" t="str">
        <f t="shared" si="41"/>
        <v/>
      </c>
      <c r="Y38" s="11" t="str">
        <f t="shared" si="41"/>
        <v/>
      </c>
      <c r="Z38" s="11" t="str">
        <f t="shared" si="41"/>
        <v/>
      </c>
      <c r="AA38" s="11" t="str">
        <f t="shared" si="41"/>
        <v/>
      </c>
      <c r="AB38" s="12" t="str">
        <f t="shared" si="41"/>
        <v/>
      </c>
      <c r="AD38" s="98"/>
      <c r="AE38" s="98"/>
      <c r="AF38" s="98"/>
      <c r="AG38" s="98"/>
      <c r="AH38" s="98"/>
      <c r="AI38" s="98"/>
      <c r="AJ38" s="98"/>
      <c r="AL38" s="28">
        <f t="shared" si="8"/>
        <v>1.0000000000000002</v>
      </c>
      <c r="AM38" s="29"/>
      <c r="AO38" s="29"/>
      <c r="AQ38" s="29"/>
      <c r="AS38" s="28">
        <f t="shared" si="9"/>
        <v>1.0000000000000002</v>
      </c>
      <c r="AT38" s="51"/>
      <c r="AU38" s="51"/>
      <c r="AV38" s="51"/>
      <c r="AW38" s="51"/>
      <c r="AX38" s="51"/>
      <c r="AY38" s="51"/>
      <c r="AZ38" s="51"/>
      <c r="BB38" s="28">
        <f t="shared" si="10"/>
        <v>1.0000000000000002</v>
      </c>
      <c r="BC38" s="29"/>
    </row>
    <row r="39" spans="1:55" ht="19.8" customHeight="1">
      <c r="A39" s="36">
        <v>0</v>
      </c>
      <c r="B39" s="41" t="s">
        <v>37</v>
      </c>
      <c r="C39" s="55"/>
      <c r="AD39" s="98"/>
      <c r="AE39" s="98"/>
      <c r="AF39" s="98"/>
      <c r="AG39" s="98"/>
      <c r="AH39" s="98"/>
      <c r="AI39" s="98"/>
      <c r="AJ39" s="98"/>
      <c r="AL39" s="28">
        <f>AL38+Interval</f>
        <v>1.0208333333333335</v>
      </c>
      <c r="AM39" s="29"/>
      <c r="AO39" s="29"/>
      <c r="AQ39" s="29"/>
      <c r="AS39" s="28">
        <f t="shared" si="9"/>
        <v>1.0208333333333335</v>
      </c>
      <c r="AT39" s="51"/>
      <c r="AU39" s="51"/>
      <c r="AV39" s="51"/>
      <c r="AW39" s="51"/>
      <c r="AX39" s="51"/>
      <c r="AY39" s="51"/>
      <c r="AZ39" s="51"/>
      <c r="BB39" s="28">
        <f>BB38+Interval</f>
        <v>1.0208333333333335</v>
      </c>
      <c r="BC39" s="29"/>
    </row>
    <row r="40" spans="1:55" ht="19.8" customHeight="1">
      <c r="A40" s="36">
        <v>1.0416666666666666E-2</v>
      </c>
      <c r="B40" s="41" t="s">
        <v>38</v>
      </c>
      <c r="C40" s="55"/>
      <c r="AD40" s="98"/>
      <c r="AE40" s="98"/>
      <c r="AF40" s="98"/>
      <c r="AG40" s="98"/>
      <c r="AH40" s="98"/>
      <c r="AI40" s="98"/>
      <c r="AJ40" s="98"/>
      <c r="AL40" s="28">
        <f t="shared" si="8"/>
        <v>1.0416666666666667</v>
      </c>
      <c r="AM40" s="29"/>
      <c r="AO40" s="29"/>
      <c r="AQ40" s="29"/>
      <c r="AS40" s="28">
        <f t="shared" si="9"/>
        <v>1.0416666666666667</v>
      </c>
      <c r="AT40" s="51"/>
      <c r="AU40" s="51"/>
      <c r="AV40" s="51"/>
      <c r="AW40" s="51"/>
      <c r="AX40" s="51"/>
      <c r="AY40" s="51"/>
      <c r="AZ40" s="51"/>
      <c r="BB40" s="28">
        <f t="shared" si="10"/>
        <v>1.0416666666666667</v>
      </c>
      <c r="BC40" s="29"/>
    </row>
    <row r="41" spans="1:55" ht="19.8" customHeight="1">
      <c r="A41" s="36">
        <v>2.0833333333333301E-2</v>
      </c>
      <c r="B41" s="41" t="s">
        <v>39</v>
      </c>
      <c r="F41" s="64"/>
      <c r="G41" t="s">
        <v>80</v>
      </c>
      <c r="AD41" s="99"/>
      <c r="AE41" s="99"/>
      <c r="AF41" s="99"/>
      <c r="AG41" s="99"/>
      <c r="AH41" s="99"/>
      <c r="AI41" s="99"/>
      <c r="AJ41" s="99"/>
      <c r="AL41" s="28">
        <f>AL40+Interval</f>
        <v>1.0625</v>
      </c>
      <c r="AM41" s="30"/>
      <c r="AO41" s="29"/>
      <c r="AQ41" s="29"/>
      <c r="AS41" s="28">
        <f t="shared" si="9"/>
        <v>1.0625</v>
      </c>
      <c r="AT41" s="51"/>
      <c r="AU41" s="51"/>
      <c r="AV41" s="51"/>
      <c r="AW41" s="51"/>
      <c r="AX41" s="51"/>
      <c r="AY41" s="51"/>
      <c r="AZ41" s="51"/>
      <c r="BB41" s="28">
        <f>BB40+Interval</f>
        <v>1.0625</v>
      </c>
      <c r="BC41" s="30"/>
    </row>
    <row r="42" spans="1:55" ht="19.8" customHeight="1">
      <c r="A42" s="36">
        <v>3.125E-2</v>
      </c>
      <c r="B42" s="41" t="s">
        <v>40</v>
      </c>
      <c r="F42" s="66"/>
      <c r="G42" t="s">
        <v>81</v>
      </c>
      <c r="AD42" s="82" t="s">
        <v>35</v>
      </c>
      <c r="AE42" s="82" t="s">
        <v>35</v>
      </c>
      <c r="AF42" s="82" t="s">
        <v>35</v>
      </c>
      <c r="AG42" s="82" t="s">
        <v>35</v>
      </c>
      <c r="AH42" s="82" t="s">
        <v>35</v>
      </c>
      <c r="AI42" s="82" t="s">
        <v>35</v>
      </c>
      <c r="AJ42" s="82" t="s">
        <v>35</v>
      </c>
      <c r="AL42" s="28">
        <f>AL41+Interval</f>
        <v>1.0833333333333333</v>
      </c>
      <c r="AM42" s="29"/>
      <c r="AO42" s="29"/>
      <c r="AQ42" s="29"/>
      <c r="AS42" s="28">
        <f t="shared" si="9"/>
        <v>1.0833333333333333</v>
      </c>
      <c r="AT42" s="51"/>
      <c r="AU42" s="51"/>
      <c r="AV42" s="51"/>
      <c r="AW42" s="51"/>
      <c r="AX42" s="51"/>
      <c r="AY42" s="51"/>
      <c r="AZ42" s="51"/>
      <c r="BB42" s="28">
        <f>BB41+Interval</f>
        <v>1.0833333333333333</v>
      </c>
      <c r="BC42" s="29"/>
    </row>
    <row r="43" spans="1:55">
      <c r="A43" s="36">
        <v>4.1666666666666699E-2</v>
      </c>
      <c r="B43" s="41" t="s">
        <v>41</v>
      </c>
      <c r="F43" s="65"/>
      <c r="G43" t="s">
        <v>89</v>
      </c>
      <c r="AD43" s="45">
        <v>2</v>
      </c>
      <c r="AE43" s="45">
        <v>3</v>
      </c>
      <c r="AF43" s="45">
        <v>4</v>
      </c>
      <c r="AG43" s="45">
        <v>5</v>
      </c>
      <c r="AH43" s="45">
        <v>6</v>
      </c>
      <c r="AI43" s="45">
        <v>7</v>
      </c>
      <c r="AJ43" s="45">
        <v>1</v>
      </c>
    </row>
    <row r="44" spans="1:55">
      <c r="A44" s="36">
        <v>5.2083333333333301E-2</v>
      </c>
      <c r="B44" s="41" t="s">
        <v>42</v>
      </c>
      <c r="AL44" t="s">
        <v>53</v>
      </c>
      <c r="AM44" s="45">
        <f ca="1">IFERROR(MATCH(AM5,INDIRECT("'"&amp;ScYear&amp;"'!A1:NB1",TRUE),0),"")</f>
        <v>335</v>
      </c>
    </row>
    <row r="45" spans="1:55">
      <c r="A45" s="36">
        <v>6.25E-2</v>
      </c>
      <c r="B45" s="41" t="s">
        <v>43</v>
      </c>
    </row>
    <row r="46" spans="1:55">
      <c r="A46" s="36">
        <v>7.2916666666666699E-2</v>
      </c>
      <c r="B46" s="41" t="s">
        <v>44</v>
      </c>
    </row>
    <row r="47" spans="1:55">
      <c r="A47" s="36">
        <v>8.3333333333333301E-2</v>
      </c>
      <c r="B47" s="41" t="s">
        <v>45</v>
      </c>
    </row>
    <row r="48" spans="1:55">
      <c r="A48" s="36">
        <v>9.375E-2</v>
      </c>
      <c r="B48" s="41" t="s">
        <v>46</v>
      </c>
    </row>
    <row r="49" spans="1:2">
      <c r="A49" s="36">
        <v>0.104166666666667</v>
      </c>
      <c r="B49" s="41" t="s">
        <v>47</v>
      </c>
    </row>
    <row r="50" spans="1:2">
      <c r="A50" s="36">
        <v>0.114583333333333</v>
      </c>
      <c r="B50" s="41" t="s">
        <v>48</v>
      </c>
    </row>
    <row r="51" spans="1:2">
      <c r="A51" s="36">
        <v>0.125</v>
      </c>
      <c r="B51" s="42" t="s">
        <v>32</v>
      </c>
    </row>
    <row r="52" spans="1:2">
      <c r="A52" s="36">
        <v>0.13541666666666699</v>
      </c>
      <c r="B52" s="43">
        <f>B54/4</f>
        <v>1.0416666666666666E-2</v>
      </c>
    </row>
    <row r="53" spans="1:2">
      <c r="A53" s="36">
        <v>0.14583333333333301</v>
      </c>
      <c r="B53" s="43">
        <f>B54/2</f>
        <v>2.0833333333333332E-2</v>
      </c>
    </row>
    <row r="54" spans="1:2">
      <c r="A54" s="36">
        <v>0.15625</v>
      </c>
      <c r="B54" s="43">
        <f>1/24</f>
        <v>4.1666666666666664E-2</v>
      </c>
    </row>
    <row r="55" spans="1:2">
      <c r="A55" s="36">
        <v>0.16666666666666699</v>
      </c>
      <c r="B55" s="42" t="s">
        <v>33</v>
      </c>
    </row>
    <row r="56" spans="1:2">
      <c r="A56" s="36">
        <v>0.17708333333333301</v>
      </c>
      <c r="B56" s="44">
        <v>5</v>
      </c>
    </row>
    <row r="57" spans="1:2">
      <c r="A57" s="36">
        <v>0.1875</v>
      </c>
      <c r="B57" s="44">
        <v>10</v>
      </c>
    </row>
    <row r="58" spans="1:2">
      <c r="A58" s="36">
        <v>0.19791666666666699</v>
      </c>
      <c r="B58" s="44">
        <v>15</v>
      </c>
    </row>
    <row r="59" spans="1:2">
      <c r="A59" s="36">
        <v>0.20833333333333301</v>
      </c>
      <c r="B59" s="44">
        <v>30</v>
      </c>
    </row>
    <row r="60" spans="1:2">
      <c r="A60" s="36">
        <v>0.21875</v>
      </c>
      <c r="B60" s="44">
        <v>45</v>
      </c>
    </row>
    <row r="61" spans="1:2">
      <c r="A61" s="36">
        <v>0.22916666666666699</v>
      </c>
      <c r="B61" s="44">
        <v>60</v>
      </c>
    </row>
    <row r="62" spans="1:2">
      <c r="A62" s="36">
        <v>0.23958333333333301</v>
      </c>
      <c r="B62" s="44">
        <v>90</v>
      </c>
    </row>
    <row r="63" spans="1:2">
      <c r="A63" s="36">
        <v>0.25</v>
      </c>
      <c r="B63" s="44">
        <v>120</v>
      </c>
    </row>
    <row r="64" spans="1:2">
      <c r="A64" s="36">
        <v>0.26041666666666702</v>
      </c>
      <c r="B64" s="44">
        <v>150</v>
      </c>
    </row>
    <row r="65" spans="1:2">
      <c r="A65" s="36">
        <v>0.27083333333333298</v>
      </c>
      <c r="B65" s="44">
        <v>180</v>
      </c>
    </row>
    <row r="66" spans="1:2">
      <c r="A66" s="36">
        <v>0.28125</v>
      </c>
      <c r="B66" s="44">
        <v>210</v>
      </c>
    </row>
    <row r="67" spans="1:2">
      <c r="A67" s="36">
        <v>0.29166666666666702</v>
      </c>
      <c r="B67" s="44">
        <v>240</v>
      </c>
    </row>
    <row r="68" spans="1:2">
      <c r="A68" s="36">
        <v>0.30208333333333298</v>
      </c>
      <c r="B68" s="44">
        <v>270</v>
      </c>
    </row>
    <row r="69" spans="1:2">
      <c r="A69" s="36">
        <v>0.3125</v>
      </c>
      <c r="B69" s="44">
        <v>300</v>
      </c>
    </row>
    <row r="70" spans="1:2">
      <c r="A70" s="36">
        <v>0.32291666666666702</v>
      </c>
      <c r="B70" s="44">
        <v>330</v>
      </c>
    </row>
    <row r="71" spans="1:2">
      <c r="A71" s="36">
        <v>0.33333333333333298</v>
      </c>
      <c r="B71" s="44">
        <v>360</v>
      </c>
    </row>
    <row r="72" spans="1:2">
      <c r="A72" s="36">
        <v>0.34375</v>
      </c>
    </row>
    <row r="73" spans="1:2">
      <c r="A73" s="36">
        <v>0.35416666666666702</v>
      </c>
    </row>
    <row r="74" spans="1:2">
      <c r="A74" s="36">
        <v>0.36458333333333298</v>
      </c>
    </row>
    <row r="75" spans="1:2">
      <c r="A75" s="36">
        <v>0.375</v>
      </c>
    </row>
    <row r="76" spans="1:2">
      <c r="A76" s="36">
        <v>0.38541666666666702</v>
      </c>
    </row>
    <row r="77" spans="1:2">
      <c r="A77" s="36">
        <v>0.39583333333333298</v>
      </c>
    </row>
    <row r="78" spans="1:2">
      <c r="A78" s="36">
        <v>0.40625</v>
      </c>
    </row>
    <row r="79" spans="1:2">
      <c r="A79" s="36">
        <v>0.41666666666666702</v>
      </c>
    </row>
    <row r="80" spans="1:2">
      <c r="A80" s="36">
        <v>0.42708333333333298</v>
      </c>
    </row>
    <row r="81" spans="1:1">
      <c r="A81" s="36">
        <v>0.4375</v>
      </c>
    </row>
    <row r="82" spans="1:1">
      <c r="A82" s="36">
        <v>0.44791666666666702</v>
      </c>
    </row>
    <row r="83" spans="1:1">
      <c r="A83" s="36">
        <v>0.45833333333333298</v>
      </c>
    </row>
    <row r="84" spans="1:1">
      <c r="A84" s="36">
        <v>0.46875</v>
      </c>
    </row>
    <row r="85" spans="1:1">
      <c r="A85" s="36">
        <v>0.47916666666666702</v>
      </c>
    </row>
    <row r="86" spans="1:1">
      <c r="A86" s="36">
        <v>0.48958333333333298</v>
      </c>
    </row>
    <row r="87" spans="1:1">
      <c r="A87" s="36">
        <v>0.5</v>
      </c>
    </row>
    <row r="88" spans="1:1">
      <c r="A88" s="36">
        <v>0.51041666666666696</v>
      </c>
    </row>
    <row r="89" spans="1:1">
      <c r="A89" s="36">
        <v>0.52083333333333304</v>
      </c>
    </row>
    <row r="90" spans="1:1">
      <c r="A90" s="36">
        <v>0.53125</v>
      </c>
    </row>
    <row r="91" spans="1:1">
      <c r="A91" s="36">
        <v>0.54166666666666696</v>
      </c>
    </row>
    <row r="92" spans="1:1">
      <c r="A92" s="36">
        <v>0.55208333333333304</v>
      </c>
    </row>
    <row r="93" spans="1:1">
      <c r="A93" s="36">
        <v>0.5625</v>
      </c>
    </row>
    <row r="94" spans="1:1">
      <c r="A94" s="36">
        <v>0.57291666666666696</v>
      </c>
    </row>
    <row r="95" spans="1:1">
      <c r="A95" s="36">
        <v>0.58333333333333304</v>
      </c>
    </row>
    <row r="96" spans="1:1">
      <c r="A96" s="36">
        <v>0.59375</v>
      </c>
    </row>
    <row r="97" spans="1:1">
      <c r="A97" s="36">
        <v>0.60416666666666696</v>
      </c>
    </row>
    <row r="98" spans="1:1">
      <c r="A98" s="36">
        <v>0.61458333333333304</v>
      </c>
    </row>
    <row r="99" spans="1:1">
      <c r="A99" s="36">
        <v>0.625</v>
      </c>
    </row>
    <row r="100" spans="1:1">
      <c r="A100" s="36">
        <v>0.63541666666666696</v>
      </c>
    </row>
    <row r="101" spans="1:1">
      <c r="A101" s="36">
        <v>0.64583333333333304</v>
      </c>
    </row>
    <row r="102" spans="1:1">
      <c r="A102" s="36">
        <v>0.65625</v>
      </c>
    </row>
    <row r="103" spans="1:1">
      <c r="A103" s="36">
        <v>0.66666666666666696</v>
      </c>
    </row>
    <row r="104" spans="1:1">
      <c r="A104" s="36">
        <v>0.67708333333333304</v>
      </c>
    </row>
    <row r="105" spans="1:1">
      <c r="A105" s="36">
        <v>0.6875</v>
      </c>
    </row>
    <row r="106" spans="1:1">
      <c r="A106" s="36">
        <v>0.69791666666666696</v>
      </c>
    </row>
    <row r="107" spans="1:1">
      <c r="A107" s="36">
        <v>0.70833333333333304</v>
      </c>
    </row>
    <row r="108" spans="1:1">
      <c r="A108" s="36">
        <v>0.71875</v>
      </c>
    </row>
    <row r="109" spans="1:1">
      <c r="A109" s="36">
        <v>0.72916666666666696</v>
      </c>
    </row>
    <row r="110" spans="1:1">
      <c r="A110" s="36">
        <v>0.73958333333333304</v>
      </c>
    </row>
    <row r="111" spans="1:1">
      <c r="A111" s="36">
        <v>0.75</v>
      </c>
    </row>
    <row r="112" spans="1:1">
      <c r="A112" s="36">
        <v>0.76041666666666696</v>
      </c>
    </row>
    <row r="113" spans="1:1">
      <c r="A113" s="36">
        <v>0.77083333333333304</v>
      </c>
    </row>
    <row r="114" spans="1:1">
      <c r="A114" s="36">
        <v>0.78125</v>
      </c>
    </row>
    <row r="115" spans="1:1">
      <c r="A115" s="36">
        <v>0.79166666666666696</v>
      </c>
    </row>
    <row r="116" spans="1:1">
      <c r="A116" s="36">
        <v>0.80208333333333304</v>
      </c>
    </row>
    <row r="117" spans="1:1">
      <c r="A117" s="36">
        <v>0.8125</v>
      </c>
    </row>
    <row r="118" spans="1:1">
      <c r="A118" s="36">
        <v>0.82291666666666696</v>
      </c>
    </row>
    <row r="119" spans="1:1">
      <c r="A119" s="36">
        <v>0.83333333333333304</v>
      </c>
    </row>
    <row r="120" spans="1:1">
      <c r="A120" s="36">
        <v>0.84375</v>
      </c>
    </row>
    <row r="121" spans="1:1">
      <c r="A121" s="36">
        <v>0.85416666666666696</v>
      </c>
    </row>
    <row r="122" spans="1:1">
      <c r="A122" s="36">
        <v>0.86458333333333304</v>
      </c>
    </row>
    <row r="123" spans="1:1">
      <c r="A123" s="36">
        <v>0.875</v>
      </c>
    </row>
    <row r="124" spans="1:1">
      <c r="A124" s="36">
        <v>0.88541666666666696</v>
      </c>
    </row>
    <row r="125" spans="1:1">
      <c r="A125" s="36">
        <v>0.89583333333333304</v>
      </c>
    </row>
    <row r="126" spans="1:1">
      <c r="A126" s="36">
        <v>0.90625</v>
      </c>
    </row>
    <row r="127" spans="1:1">
      <c r="A127" s="36">
        <v>0.91666666666666696</v>
      </c>
    </row>
    <row r="128" spans="1:1">
      <c r="A128" s="36">
        <v>0.92708333333333304</v>
      </c>
    </row>
    <row r="129" spans="1:1">
      <c r="A129" s="36">
        <v>0.9375</v>
      </c>
    </row>
    <row r="130" spans="1:1">
      <c r="A130" s="36">
        <v>0.94791666666666696</v>
      </c>
    </row>
    <row r="131" spans="1:1">
      <c r="A131" s="36">
        <v>0.95833333333333304</v>
      </c>
    </row>
    <row r="132" spans="1:1">
      <c r="A132" s="36">
        <v>0.96875</v>
      </c>
    </row>
    <row r="133" spans="1:1">
      <c r="A133" s="36">
        <v>0.97916666666666696</v>
      </c>
    </row>
    <row r="134" spans="1:1">
      <c r="A134" s="36">
        <v>0.98958333333333304</v>
      </c>
    </row>
  </sheetData>
  <mergeCells count="56">
    <mergeCell ref="V13:AB13"/>
    <mergeCell ref="AI37:AI41"/>
    <mergeCell ref="AJ37:AJ41"/>
    <mergeCell ref="AD37:AD41"/>
    <mergeCell ref="AE37:AE41"/>
    <mergeCell ref="AF37:AF41"/>
    <mergeCell ref="AG37:AG41"/>
    <mergeCell ref="AH37:AH41"/>
    <mergeCell ref="AI13:AI17"/>
    <mergeCell ref="V22:AB22"/>
    <mergeCell ref="AI19:AI23"/>
    <mergeCell ref="AD13:AD17"/>
    <mergeCell ref="AE13:AE17"/>
    <mergeCell ref="AF13:AF17"/>
    <mergeCell ref="AG13:AG17"/>
    <mergeCell ref="AH13:AH17"/>
    <mergeCell ref="F22:L22"/>
    <mergeCell ref="N22:T22"/>
    <mergeCell ref="AT3:AZ3"/>
    <mergeCell ref="AD31:AD35"/>
    <mergeCell ref="AE31:AE35"/>
    <mergeCell ref="AF31:AF35"/>
    <mergeCell ref="AG31:AG35"/>
    <mergeCell ref="AH31:AH35"/>
    <mergeCell ref="AI31:AI35"/>
    <mergeCell ref="AJ31:AJ35"/>
    <mergeCell ref="F4:L4"/>
    <mergeCell ref="N4:T4"/>
    <mergeCell ref="V4:AB4"/>
    <mergeCell ref="F13:L13"/>
    <mergeCell ref="N13:T13"/>
    <mergeCell ref="AG19:AG23"/>
    <mergeCell ref="AD4:AJ4"/>
    <mergeCell ref="AD7:AD11"/>
    <mergeCell ref="AE7:AE11"/>
    <mergeCell ref="AF7:AF11"/>
    <mergeCell ref="AG7:AG11"/>
    <mergeCell ref="AH7:AH11"/>
    <mergeCell ref="AI7:AI11"/>
    <mergeCell ref="AJ7:AJ11"/>
    <mergeCell ref="AH19:AH23"/>
    <mergeCell ref="AJ13:AJ17"/>
    <mergeCell ref="F31:L31"/>
    <mergeCell ref="N31:T31"/>
    <mergeCell ref="V31:AB31"/>
    <mergeCell ref="AJ19:AJ23"/>
    <mergeCell ref="AD25:AD29"/>
    <mergeCell ref="AE25:AE29"/>
    <mergeCell ref="AF25:AF29"/>
    <mergeCell ref="AG25:AG29"/>
    <mergeCell ref="AH25:AH29"/>
    <mergeCell ref="AI25:AI29"/>
    <mergeCell ref="AJ25:AJ29"/>
    <mergeCell ref="AD19:AD23"/>
    <mergeCell ref="AE19:AE23"/>
    <mergeCell ref="AF19:AF23"/>
  </mergeCells>
  <phoneticPr fontId="12" type="noConversion"/>
  <conditionalFormatting sqref="AT5:AZ5">
    <cfRule type="expression" dxfId="7" priority="8">
      <formula>AT5=TODAY()</formula>
    </cfRule>
  </conditionalFormatting>
  <conditionalFormatting sqref="F4:AB38">
    <cfRule type="expression" dxfId="6" priority="4">
      <formula>F4=selDate</formula>
    </cfRule>
    <cfRule type="cellIs" dxfId="5" priority="5" operator="equal">
      <formula>TODAY()</formula>
    </cfRule>
    <cfRule type="expression" dxfId="4" priority="6">
      <formula>AND(F4&lt;&gt;"",ISNUMBER(F4)=TRUE,COUNTA(INDIRECT("'"&amp;ScYear&amp;"'!R6C"&amp;F4-DATE(ScYear,1,1)+1&amp;":R29C"&amp;F4-DATE(ScYear,1,1)+1,FALSE))&gt;0)</formula>
    </cfRule>
    <cfRule type="expression" dxfId="3" priority="7">
      <formula>AND(_xlfn.ISFORMULA(F4),F4="")</formula>
    </cfRule>
  </conditionalFormatting>
  <conditionalFormatting sqref="AD6:AJ41">
    <cfRule type="expression" dxfId="2" priority="1">
      <formula>AD6=selDate</formula>
    </cfRule>
    <cfRule type="cellIs" dxfId="1" priority="2" operator="equal">
      <formula>TODAY()</formula>
    </cfRule>
    <cfRule type="expression" dxfId="0" priority="3">
      <formula>AND(AD6="",AD5="")</formula>
    </cfRule>
  </conditionalFormatting>
  <dataValidations count="8">
    <dataValidation type="list" allowBlank="1" showInputMessage="1" showErrorMessage="1" sqref="AM4 BC4" xr:uid="{E1CB7CB8-B204-45AA-9C17-08552CEC6F19}">
      <formula1>Staff</formula1>
    </dataValidation>
    <dataValidation type="list" allowBlank="1" showInputMessage="1" showErrorMessage="1" sqref="B5" xr:uid="{6ADCD387-B353-4727-B469-E5F8DD875165}">
      <formula1>Times</formula1>
    </dataValidation>
    <dataValidation type="list" allowBlank="1" showInputMessage="1" showErrorMessage="1" sqref="B6" xr:uid="{740E301C-D672-4F6A-B54C-937BDE456603}">
      <formula1>Intervals</formula1>
    </dataValidation>
    <dataValidation type="list" allowBlank="1" showInputMessage="1" showErrorMessage="1" sqref="B8:B9" xr:uid="{B66C3C36-C168-4CB5-95AA-864537A93E64}">
      <formula1>"Yes,No"</formula1>
    </dataValidation>
    <dataValidation type="list" allowBlank="1" showInputMessage="1" showErrorMessage="1" sqref="B10" xr:uid="{F8C62CED-A093-4EED-A36D-860D7B44EA51}">
      <formula1>ApDur</formula1>
    </dataValidation>
    <dataValidation type="list" allowBlank="1" showInputMessage="1" showErrorMessage="1" sqref="D10 D8" xr:uid="{451591CB-8B07-4A24-A371-985720A126BD}">
      <formula1>YesNoDD</formula1>
    </dataValidation>
    <dataValidation type="list" allowBlank="1" showInputMessage="1" showErrorMessage="1" sqref="D12" xr:uid="{8860E8AD-EE01-4D9E-9A19-9205D08AC283}">
      <formula1>"staff"</formula1>
    </dataValidation>
    <dataValidation type="list" allowBlank="1" showInputMessage="1" showErrorMessage="1" sqref="D14" xr:uid="{204195BE-2681-48EB-B4DA-2DBB3E8450AF}">
      <formula1>A35:A36</formula1>
    </dataValidation>
  </dataValidations>
  <pageMargins left="0" right="0" top="0" bottom="0" header="0" footer="0"/>
  <pageSetup paperSize="9" scale="13" orientation="portrait" horizontalDpi="4294967293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9E4D5-0F8E-491C-BBE7-D65DE49326EC}">
  <sheetPr codeName="Sheet5"/>
  <dimension ref="A1"/>
  <sheetViews>
    <sheetView workbookViewId="0">
      <selection sqref="A1:B5"/>
    </sheetView>
  </sheetViews>
  <sheetFormatPr defaultRowHeight="14.4"/>
  <sheetData>
    <row r="1" spans="1:1">
      <c r="A1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AE29B-66C1-4682-A354-15EF18AB3F3B}">
  <sheetPr codeName="Sheet6"/>
  <dimension ref="A1"/>
  <sheetViews>
    <sheetView workbookViewId="0">
      <selection sqref="A1:B1"/>
    </sheetView>
  </sheetViews>
  <sheetFormatPr defaultRowHeight="14.4"/>
  <sheetData>
    <row r="1" spans="1:1">
      <c r="A1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44A5C-5AA9-4D0E-9F06-3B630028DC1D}">
  <sheetPr codeName="Sheet7"/>
  <dimension ref="A1:C1"/>
  <sheetViews>
    <sheetView workbookViewId="0">
      <selection activeCell="G4" sqref="G4"/>
    </sheetView>
  </sheetViews>
  <sheetFormatPr defaultRowHeight="14.4"/>
  <cols>
    <col min="1" max="1" width="5.88671875" bestFit="1" customWidth="1"/>
    <col min="2" max="2" width="12.88671875" bestFit="1" customWidth="1"/>
    <col min="3" max="3" width="5.6640625" bestFit="1" customWidth="1"/>
  </cols>
  <sheetData>
    <row r="1" spans="1:3" ht="18">
      <c r="A1" s="56" t="s">
        <v>58</v>
      </c>
      <c r="B1" s="57" t="s">
        <v>59</v>
      </c>
      <c r="C1" s="58" t="s">
        <v>60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DBF5D-D231-45AF-84F7-C925FAA14FCA}">
  <sheetPr codeName="Sheet2"/>
  <dimension ref="A1:NB40"/>
  <sheetViews>
    <sheetView workbookViewId="0">
      <selection activeCell="A2" sqref="A2:XFD1048576"/>
    </sheetView>
  </sheetViews>
  <sheetFormatPr defaultRowHeight="14.4"/>
  <sheetData>
    <row r="1" spans="1:366">
      <c r="A1" s="14">
        <v>44197</v>
      </c>
      <c r="B1" s="14">
        <f>A1+1</f>
        <v>44198</v>
      </c>
      <c r="C1" s="14">
        <f t="shared" ref="C1:BN1" si="0">B1+1</f>
        <v>44199</v>
      </c>
      <c r="D1" s="14">
        <f t="shared" si="0"/>
        <v>44200</v>
      </c>
      <c r="E1" s="14">
        <f t="shared" si="0"/>
        <v>44201</v>
      </c>
      <c r="F1" s="14">
        <f t="shared" si="0"/>
        <v>44202</v>
      </c>
      <c r="G1" s="14">
        <f t="shared" si="0"/>
        <v>44203</v>
      </c>
      <c r="H1" s="14">
        <f t="shared" si="0"/>
        <v>44204</v>
      </c>
      <c r="I1" s="14">
        <f t="shared" si="0"/>
        <v>44205</v>
      </c>
      <c r="J1" s="14">
        <f t="shared" si="0"/>
        <v>44206</v>
      </c>
      <c r="K1" s="14">
        <f t="shared" si="0"/>
        <v>44207</v>
      </c>
      <c r="L1" s="14">
        <f t="shared" si="0"/>
        <v>44208</v>
      </c>
      <c r="M1" s="14">
        <f t="shared" si="0"/>
        <v>44209</v>
      </c>
      <c r="N1" s="14">
        <f t="shared" si="0"/>
        <v>44210</v>
      </c>
      <c r="O1" s="14">
        <f t="shared" si="0"/>
        <v>44211</v>
      </c>
      <c r="P1" s="14">
        <f t="shared" si="0"/>
        <v>44212</v>
      </c>
      <c r="Q1" s="14">
        <f t="shared" si="0"/>
        <v>44213</v>
      </c>
      <c r="R1" s="14">
        <f t="shared" si="0"/>
        <v>44214</v>
      </c>
      <c r="S1" s="14">
        <f t="shared" si="0"/>
        <v>44215</v>
      </c>
      <c r="T1" s="14">
        <f t="shared" si="0"/>
        <v>44216</v>
      </c>
      <c r="U1" s="14">
        <f t="shared" si="0"/>
        <v>44217</v>
      </c>
      <c r="V1" s="14">
        <f t="shared" si="0"/>
        <v>44218</v>
      </c>
      <c r="W1" s="14">
        <f t="shared" si="0"/>
        <v>44219</v>
      </c>
      <c r="X1" s="14">
        <f t="shared" si="0"/>
        <v>44220</v>
      </c>
      <c r="Y1" s="14">
        <f t="shared" si="0"/>
        <v>44221</v>
      </c>
      <c r="Z1" s="14">
        <f t="shared" si="0"/>
        <v>44222</v>
      </c>
      <c r="AA1" s="14">
        <f t="shared" si="0"/>
        <v>44223</v>
      </c>
      <c r="AB1" s="14">
        <f t="shared" si="0"/>
        <v>44224</v>
      </c>
      <c r="AC1" s="14">
        <f t="shared" si="0"/>
        <v>44225</v>
      </c>
      <c r="AD1" s="14">
        <f t="shared" si="0"/>
        <v>44226</v>
      </c>
      <c r="AE1" s="14">
        <f t="shared" si="0"/>
        <v>44227</v>
      </c>
      <c r="AF1" s="14">
        <f t="shared" si="0"/>
        <v>44228</v>
      </c>
      <c r="AG1" s="14">
        <f t="shared" si="0"/>
        <v>44229</v>
      </c>
      <c r="AH1" s="14">
        <f t="shared" si="0"/>
        <v>44230</v>
      </c>
      <c r="AI1" s="14">
        <f t="shared" si="0"/>
        <v>44231</v>
      </c>
      <c r="AJ1" s="14">
        <f t="shared" si="0"/>
        <v>44232</v>
      </c>
      <c r="AK1" s="14">
        <f t="shared" si="0"/>
        <v>44233</v>
      </c>
      <c r="AL1" s="14">
        <f t="shared" si="0"/>
        <v>44234</v>
      </c>
      <c r="AM1" s="14">
        <f t="shared" si="0"/>
        <v>44235</v>
      </c>
      <c r="AN1" s="14">
        <f t="shared" si="0"/>
        <v>44236</v>
      </c>
      <c r="AO1" s="14">
        <f t="shared" si="0"/>
        <v>44237</v>
      </c>
      <c r="AP1" s="14">
        <f t="shared" si="0"/>
        <v>44238</v>
      </c>
      <c r="AQ1" s="14">
        <f t="shared" si="0"/>
        <v>44239</v>
      </c>
      <c r="AR1" s="14">
        <f t="shared" si="0"/>
        <v>44240</v>
      </c>
      <c r="AS1" s="14">
        <f t="shared" si="0"/>
        <v>44241</v>
      </c>
      <c r="AT1" s="14">
        <f t="shared" si="0"/>
        <v>44242</v>
      </c>
      <c r="AU1" s="14">
        <f t="shared" si="0"/>
        <v>44243</v>
      </c>
      <c r="AV1" s="14">
        <f t="shared" si="0"/>
        <v>44244</v>
      </c>
      <c r="AW1" s="14">
        <f t="shared" si="0"/>
        <v>44245</v>
      </c>
      <c r="AX1" s="14">
        <f t="shared" si="0"/>
        <v>44246</v>
      </c>
      <c r="AY1" s="14">
        <f t="shared" si="0"/>
        <v>44247</v>
      </c>
      <c r="AZ1" s="14">
        <f t="shared" si="0"/>
        <v>44248</v>
      </c>
      <c r="BA1" s="14">
        <f t="shared" si="0"/>
        <v>44249</v>
      </c>
      <c r="BB1" s="14">
        <f t="shared" si="0"/>
        <v>44250</v>
      </c>
      <c r="BC1" s="14">
        <f t="shared" si="0"/>
        <v>44251</v>
      </c>
      <c r="BD1" s="14">
        <f t="shared" si="0"/>
        <v>44252</v>
      </c>
      <c r="BE1" s="14">
        <f t="shared" si="0"/>
        <v>44253</v>
      </c>
      <c r="BF1" s="14">
        <f t="shared" si="0"/>
        <v>44254</v>
      </c>
      <c r="BG1" s="14">
        <f t="shared" si="0"/>
        <v>44255</v>
      </c>
      <c r="BH1" s="14">
        <f t="shared" si="0"/>
        <v>44256</v>
      </c>
      <c r="BI1" s="14">
        <f t="shared" si="0"/>
        <v>44257</v>
      </c>
      <c r="BJ1" s="14">
        <f t="shared" si="0"/>
        <v>44258</v>
      </c>
      <c r="BK1" s="14">
        <f t="shared" si="0"/>
        <v>44259</v>
      </c>
      <c r="BL1" s="14">
        <f t="shared" si="0"/>
        <v>44260</v>
      </c>
      <c r="BM1" s="14">
        <f t="shared" si="0"/>
        <v>44261</v>
      </c>
      <c r="BN1" s="14">
        <f t="shared" si="0"/>
        <v>44262</v>
      </c>
      <c r="BO1" s="14">
        <f t="shared" ref="BO1:DZ1" si="1">BN1+1</f>
        <v>44263</v>
      </c>
      <c r="BP1" s="14">
        <f t="shared" si="1"/>
        <v>44264</v>
      </c>
      <c r="BQ1" s="14">
        <f t="shared" si="1"/>
        <v>44265</v>
      </c>
      <c r="BR1" s="14">
        <f t="shared" si="1"/>
        <v>44266</v>
      </c>
      <c r="BS1" s="14">
        <f t="shared" si="1"/>
        <v>44267</v>
      </c>
      <c r="BT1" s="14">
        <f t="shared" si="1"/>
        <v>44268</v>
      </c>
      <c r="BU1" s="14">
        <f t="shared" si="1"/>
        <v>44269</v>
      </c>
      <c r="BV1" s="14">
        <f t="shared" si="1"/>
        <v>44270</v>
      </c>
      <c r="BW1" s="14">
        <f t="shared" si="1"/>
        <v>44271</v>
      </c>
      <c r="BX1" s="14">
        <f t="shared" si="1"/>
        <v>44272</v>
      </c>
      <c r="BY1" s="14">
        <f t="shared" si="1"/>
        <v>44273</v>
      </c>
      <c r="BZ1" s="14">
        <f t="shared" si="1"/>
        <v>44274</v>
      </c>
      <c r="CA1" s="14">
        <f t="shared" si="1"/>
        <v>44275</v>
      </c>
      <c r="CB1" s="14">
        <f t="shared" si="1"/>
        <v>44276</v>
      </c>
      <c r="CC1" s="14">
        <f t="shared" si="1"/>
        <v>44277</v>
      </c>
      <c r="CD1" s="14">
        <f t="shared" si="1"/>
        <v>44278</v>
      </c>
      <c r="CE1" s="14">
        <f t="shared" si="1"/>
        <v>44279</v>
      </c>
      <c r="CF1" s="14">
        <f t="shared" si="1"/>
        <v>44280</v>
      </c>
      <c r="CG1" s="14">
        <f t="shared" si="1"/>
        <v>44281</v>
      </c>
      <c r="CH1" s="14">
        <f t="shared" si="1"/>
        <v>44282</v>
      </c>
      <c r="CI1" s="14">
        <f t="shared" si="1"/>
        <v>44283</v>
      </c>
      <c r="CJ1" s="14">
        <f t="shared" si="1"/>
        <v>44284</v>
      </c>
      <c r="CK1" s="14">
        <f t="shared" si="1"/>
        <v>44285</v>
      </c>
      <c r="CL1" s="14">
        <f t="shared" si="1"/>
        <v>44286</v>
      </c>
      <c r="CM1" s="14">
        <f t="shared" si="1"/>
        <v>44287</v>
      </c>
      <c r="CN1" s="14">
        <f t="shared" si="1"/>
        <v>44288</v>
      </c>
      <c r="CO1" s="14">
        <f t="shared" si="1"/>
        <v>44289</v>
      </c>
      <c r="CP1" s="14">
        <f t="shared" si="1"/>
        <v>44290</v>
      </c>
      <c r="CQ1" s="14">
        <f t="shared" si="1"/>
        <v>44291</v>
      </c>
      <c r="CR1" s="14">
        <f t="shared" si="1"/>
        <v>44292</v>
      </c>
      <c r="CS1" s="14">
        <f t="shared" si="1"/>
        <v>44293</v>
      </c>
      <c r="CT1" s="14">
        <f t="shared" si="1"/>
        <v>44294</v>
      </c>
      <c r="CU1" s="14">
        <f t="shared" si="1"/>
        <v>44295</v>
      </c>
      <c r="CV1" s="14">
        <f t="shared" si="1"/>
        <v>44296</v>
      </c>
      <c r="CW1" s="14">
        <f t="shared" si="1"/>
        <v>44297</v>
      </c>
      <c r="CX1" s="14">
        <f t="shared" si="1"/>
        <v>44298</v>
      </c>
      <c r="CY1" s="14">
        <f t="shared" si="1"/>
        <v>44299</v>
      </c>
      <c r="CZ1" s="14">
        <f t="shared" si="1"/>
        <v>44300</v>
      </c>
      <c r="DA1" s="14">
        <f t="shared" si="1"/>
        <v>44301</v>
      </c>
      <c r="DB1" s="14">
        <f t="shared" si="1"/>
        <v>44302</v>
      </c>
      <c r="DC1" s="14">
        <f t="shared" si="1"/>
        <v>44303</v>
      </c>
      <c r="DD1" s="14">
        <f t="shared" si="1"/>
        <v>44304</v>
      </c>
      <c r="DE1" s="14">
        <f t="shared" si="1"/>
        <v>44305</v>
      </c>
      <c r="DF1" s="14">
        <f t="shared" si="1"/>
        <v>44306</v>
      </c>
      <c r="DG1" s="14">
        <f t="shared" si="1"/>
        <v>44307</v>
      </c>
      <c r="DH1" s="14">
        <f t="shared" si="1"/>
        <v>44308</v>
      </c>
      <c r="DI1" s="14">
        <f t="shared" si="1"/>
        <v>44309</v>
      </c>
      <c r="DJ1" s="14">
        <f t="shared" si="1"/>
        <v>44310</v>
      </c>
      <c r="DK1" s="14">
        <f t="shared" si="1"/>
        <v>44311</v>
      </c>
      <c r="DL1" s="14">
        <f t="shared" si="1"/>
        <v>44312</v>
      </c>
      <c r="DM1" s="14">
        <f t="shared" si="1"/>
        <v>44313</v>
      </c>
      <c r="DN1" s="14">
        <f t="shared" si="1"/>
        <v>44314</v>
      </c>
      <c r="DO1" s="14">
        <f t="shared" si="1"/>
        <v>44315</v>
      </c>
      <c r="DP1" s="14">
        <f t="shared" si="1"/>
        <v>44316</v>
      </c>
      <c r="DQ1" s="14">
        <f t="shared" si="1"/>
        <v>44317</v>
      </c>
      <c r="DR1" s="14">
        <f t="shared" si="1"/>
        <v>44318</v>
      </c>
      <c r="DS1" s="14">
        <f t="shared" si="1"/>
        <v>44319</v>
      </c>
      <c r="DT1" s="14">
        <f t="shared" si="1"/>
        <v>44320</v>
      </c>
      <c r="DU1" s="14">
        <f t="shared" si="1"/>
        <v>44321</v>
      </c>
      <c r="DV1" s="14">
        <f t="shared" si="1"/>
        <v>44322</v>
      </c>
      <c r="DW1" s="14">
        <f t="shared" si="1"/>
        <v>44323</v>
      </c>
      <c r="DX1" s="14">
        <f t="shared" si="1"/>
        <v>44324</v>
      </c>
      <c r="DY1" s="14">
        <f t="shared" si="1"/>
        <v>44325</v>
      </c>
      <c r="DZ1" s="14">
        <f t="shared" si="1"/>
        <v>44326</v>
      </c>
      <c r="EA1" s="14">
        <f t="shared" ref="EA1:GL1" si="2">DZ1+1</f>
        <v>44327</v>
      </c>
      <c r="EB1" s="14">
        <f t="shared" si="2"/>
        <v>44328</v>
      </c>
      <c r="EC1" s="14">
        <f t="shared" si="2"/>
        <v>44329</v>
      </c>
      <c r="ED1" s="14">
        <f t="shared" si="2"/>
        <v>44330</v>
      </c>
      <c r="EE1" s="14">
        <f t="shared" si="2"/>
        <v>44331</v>
      </c>
      <c r="EF1" s="14">
        <f t="shared" si="2"/>
        <v>44332</v>
      </c>
      <c r="EG1" s="14">
        <f t="shared" si="2"/>
        <v>44333</v>
      </c>
      <c r="EH1" s="14">
        <f t="shared" si="2"/>
        <v>44334</v>
      </c>
      <c r="EI1" s="14">
        <f t="shared" si="2"/>
        <v>44335</v>
      </c>
      <c r="EJ1" s="14">
        <f t="shared" si="2"/>
        <v>44336</v>
      </c>
      <c r="EK1" s="14">
        <f t="shared" si="2"/>
        <v>44337</v>
      </c>
      <c r="EL1" s="14">
        <f t="shared" si="2"/>
        <v>44338</v>
      </c>
      <c r="EM1" s="14">
        <f t="shared" si="2"/>
        <v>44339</v>
      </c>
      <c r="EN1" s="14">
        <f t="shared" si="2"/>
        <v>44340</v>
      </c>
      <c r="EO1" s="14">
        <f t="shared" si="2"/>
        <v>44341</v>
      </c>
      <c r="EP1" s="14">
        <f t="shared" si="2"/>
        <v>44342</v>
      </c>
      <c r="EQ1" s="14">
        <f t="shared" si="2"/>
        <v>44343</v>
      </c>
      <c r="ER1" s="14">
        <f t="shared" si="2"/>
        <v>44344</v>
      </c>
      <c r="ES1" s="14">
        <f t="shared" si="2"/>
        <v>44345</v>
      </c>
      <c r="ET1" s="14">
        <f t="shared" si="2"/>
        <v>44346</v>
      </c>
      <c r="EU1" s="14">
        <f t="shared" si="2"/>
        <v>44347</v>
      </c>
      <c r="EV1" s="14">
        <f t="shared" si="2"/>
        <v>44348</v>
      </c>
      <c r="EW1" s="14">
        <f t="shared" si="2"/>
        <v>44349</v>
      </c>
      <c r="EX1" s="14">
        <f t="shared" si="2"/>
        <v>44350</v>
      </c>
      <c r="EY1" s="14">
        <f t="shared" si="2"/>
        <v>44351</v>
      </c>
      <c r="EZ1" s="14">
        <f t="shared" si="2"/>
        <v>44352</v>
      </c>
      <c r="FA1" s="14">
        <f t="shared" si="2"/>
        <v>44353</v>
      </c>
      <c r="FB1" s="14">
        <f t="shared" si="2"/>
        <v>44354</v>
      </c>
      <c r="FC1" s="14">
        <f t="shared" si="2"/>
        <v>44355</v>
      </c>
      <c r="FD1" s="14">
        <f t="shared" si="2"/>
        <v>44356</v>
      </c>
      <c r="FE1" s="14">
        <f t="shared" si="2"/>
        <v>44357</v>
      </c>
      <c r="FF1" s="14">
        <f t="shared" si="2"/>
        <v>44358</v>
      </c>
      <c r="FG1" s="14">
        <f t="shared" si="2"/>
        <v>44359</v>
      </c>
      <c r="FH1" s="14">
        <f t="shared" si="2"/>
        <v>44360</v>
      </c>
      <c r="FI1" s="14">
        <f t="shared" si="2"/>
        <v>44361</v>
      </c>
      <c r="FJ1" s="14">
        <f t="shared" si="2"/>
        <v>44362</v>
      </c>
      <c r="FK1" s="14">
        <f t="shared" si="2"/>
        <v>44363</v>
      </c>
      <c r="FL1" s="14">
        <f t="shared" si="2"/>
        <v>44364</v>
      </c>
      <c r="FM1" s="14">
        <f t="shared" si="2"/>
        <v>44365</v>
      </c>
      <c r="FN1" s="14">
        <f t="shared" si="2"/>
        <v>44366</v>
      </c>
      <c r="FO1" s="14">
        <f t="shared" si="2"/>
        <v>44367</v>
      </c>
      <c r="FP1" s="14">
        <f t="shared" si="2"/>
        <v>44368</v>
      </c>
      <c r="FQ1" s="14">
        <f t="shared" si="2"/>
        <v>44369</v>
      </c>
      <c r="FR1" s="14">
        <f t="shared" si="2"/>
        <v>44370</v>
      </c>
      <c r="FS1" s="14">
        <f t="shared" si="2"/>
        <v>44371</v>
      </c>
      <c r="FT1" s="14">
        <f t="shared" si="2"/>
        <v>44372</v>
      </c>
      <c r="FU1" s="14">
        <f t="shared" si="2"/>
        <v>44373</v>
      </c>
      <c r="FV1" s="14">
        <f t="shared" si="2"/>
        <v>44374</v>
      </c>
      <c r="FW1" s="14">
        <f t="shared" si="2"/>
        <v>44375</v>
      </c>
      <c r="FX1" s="14">
        <f t="shared" si="2"/>
        <v>44376</v>
      </c>
      <c r="FY1" s="14">
        <f t="shared" si="2"/>
        <v>44377</v>
      </c>
      <c r="FZ1" s="14">
        <f t="shared" si="2"/>
        <v>44378</v>
      </c>
      <c r="GA1" s="14">
        <f t="shared" si="2"/>
        <v>44379</v>
      </c>
      <c r="GB1" s="14">
        <f t="shared" si="2"/>
        <v>44380</v>
      </c>
      <c r="GC1" s="14">
        <f t="shared" si="2"/>
        <v>44381</v>
      </c>
      <c r="GD1" s="14">
        <f t="shared" si="2"/>
        <v>44382</v>
      </c>
      <c r="GE1" s="14">
        <f t="shared" si="2"/>
        <v>44383</v>
      </c>
      <c r="GF1" s="14">
        <f t="shared" si="2"/>
        <v>44384</v>
      </c>
      <c r="GG1" s="14">
        <f t="shared" si="2"/>
        <v>44385</v>
      </c>
      <c r="GH1" s="14">
        <f t="shared" si="2"/>
        <v>44386</v>
      </c>
      <c r="GI1" s="14">
        <f t="shared" si="2"/>
        <v>44387</v>
      </c>
      <c r="GJ1" s="14">
        <f t="shared" si="2"/>
        <v>44388</v>
      </c>
      <c r="GK1" s="14">
        <f t="shared" si="2"/>
        <v>44389</v>
      </c>
      <c r="GL1" s="14">
        <f t="shared" si="2"/>
        <v>44390</v>
      </c>
      <c r="GM1" s="14">
        <f t="shared" ref="GM1:HC1" si="3">GL1+1</f>
        <v>44391</v>
      </c>
      <c r="GN1" s="14">
        <f t="shared" si="3"/>
        <v>44392</v>
      </c>
      <c r="GO1" s="14">
        <f t="shared" si="3"/>
        <v>44393</v>
      </c>
      <c r="GP1" s="14">
        <f t="shared" si="3"/>
        <v>44394</v>
      </c>
      <c r="GQ1" s="14">
        <f t="shared" si="3"/>
        <v>44395</v>
      </c>
      <c r="GR1" s="14">
        <f t="shared" si="3"/>
        <v>44396</v>
      </c>
      <c r="GS1" s="14">
        <f t="shared" si="3"/>
        <v>44397</v>
      </c>
      <c r="GT1" s="14">
        <f t="shared" si="3"/>
        <v>44398</v>
      </c>
      <c r="GU1" s="14">
        <f t="shared" si="3"/>
        <v>44399</v>
      </c>
      <c r="GV1" s="14">
        <f t="shared" si="3"/>
        <v>44400</v>
      </c>
      <c r="GW1" s="14">
        <f t="shared" si="3"/>
        <v>44401</v>
      </c>
      <c r="GX1" s="14">
        <f t="shared" si="3"/>
        <v>44402</v>
      </c>
      <c r="GY1" s="14">
        <f t="shared" si="3"/>
        <v>44403</v>
      </c>
      <c r="GZ1" s="14">
        <f t="shared" si="3"/>
        <v>44404</v>
      </c>
      <c r="HA1" s="14">
        <f t="shared" si="3"/>
        <v>44405</v>
      </c>
      <c r="HB1" s="14">
        <f t="shared" si="3"/>
        <v>44406</v>
      </c>
      <c r="HC1" s="14">
        <f t="shared" si="3"/>
        <v>44407</v>
      </c>
      <c r="HD1" s="14">
        <f>HC1+1</f>
        <v>44408</v>
      </c>
      <c r="HE1" s="14">
        <f t="shared" ref="HE1:JF1" si="4">HD1+1</f>
        <v>44409</v>
      </c>
      <c r="HF1" s="14">
        <f t="shared" si="4"/>
        <v>44410</v>
      </c>
      <c r="HG1" s="14">
        <f t="shared" si="4"/>
        <v>44411</v>
      </c>
      <c r="HH1" s="14">
        <f t="shared" si="4"/>
        <v>44412</v>
      </c>
      <c r="HI1" s="14">
        <f t="shared" si="4"/>
        <v>44413</v>
      </c>
      <c r="HJ1" s="14">
        <f t="shared" si="4"/>
        <v>44414</v>
      </c>
      <c r="HK1" s="14">
        <f t="shared" si="4"/>
        <v>44415</v>
      </c>
      <c r="HL1" s="14">
        <f t="shared" si="4"/>
        <v>44416</v>
      </c>
      <c r="HM1" s="14">
        <f t="shared" si="4"/>
        <v>44417</v>
      </c>
      <c r="HN1" s="14">
        <f t="shared" si="4"/>
        <v>44418</v>
      </c>
      <c r="HO1" s="14">
        <f t="shared" si="4"/>
        <v>44419</v>
      </c>
      <c r="HP1" s="14">
        <f t="shared" si="4"/>
        <v>44420</v>
      </c>
      <c r="HQ1" s="14">
        <f t="shared" si="4"/>
        <v>44421</v>
      </c>
      <c r="HR1" s="14">
        <f t="shared" si="4"/>
        <v>44422</v>
      </c>
      <c r="HS1" s="14">
        <f t="shared" si="4"/>
        <v>44423</v>
      </c>
      <c r="HT1" s="14">
        <f t="shared" si="4"/>
        <v>44424</v>
      </c>
      <c r="HU1" s="14">
        <f t="shared" si="4"/>
        <v>44425</v>
      </c>
      <c r="HV1" s="14">
        <f t="shared" si="4"/>
        <v>44426</v>
      </c>
      <c r="HW1" s="14">
        <f t="shared" si="4"/>
        <v>44427</v>
      </c>
      <c r="HX1" s="14">
        <f t="shared" si="4"/>
        <v>44428</v>
      </c>
      <c r="HY1" s="14">
        <f t="shared" si="4"/>
        <v>44429</v>
      </c>
      <c r="HZ1" s="14">
        <f t="shared" si="4"/>
        <v>44430</v>
      </c>
      <c r="IA1" s="14">
        <f t="shared" si="4"/>
        <v>44431</v>
      </c>
      <c r="IB1" s="14">
        <f t="shared" si="4"/>
        <v>44432</v>
      </c>
      <c r="IC1" s="14">
        <f t="shared" si="4"/>
        <v>44433</v>
      </c>
      <c r="ID1" s="14">
        <f t="shared" si="4"/>
        <v>44434</v>
      </c>
      <c r="IE1" s="14">
        <f t="shared" si="4"/>
        <v>44435</v>
      </c>
      <c r="IF1" s="14">
        <f t="shared" si="4"/>
        <v>44436</v>
      </c>
      <c r="IG1" s="14">
        <f t="shared" si="4"/>
        <v>44437</v>
      </c>
      <c r="IH1" s="14">
        <f t="shared" si="4"/>
        <v>44438</v>
      </c>
      <c r="II1" s="14">
        <f t="shared" si="4"/>
        <v>44439</v>
      </c>
      <c r="IJ1" s="14">
        <f t="shared" si="4"/>
        <v>44440</v>
      </c>
      <c r="IK1" s="14">
        <f t="shared" si="4"/>
        <v>44441</v>
      </c>
      <c r="IL1" s="14">
        <f t="shared" si="4"/>
        <v>44442</v>
      </c>
      <c r="IM1" s="14">
        <f t="shared" si="4"/>
        <v>44443</v>
      </c>
      <c r="IN1" s="14">
        <f t="shared" si="4"/>
        <v>44444</v>
      </c>
      <c r="IO1" s="14">
        <f t="shared" si="4"/>
        <v>44445</v>
      </c>
      <c r="IP1" s="14">
        <f t="shared" si="4"/>
        <v>44446</v>
      </c>
      <c r="IQ1" s="14">
        <f t="shared" si="4"/>
        <v>44447</v>
      </c>
      <c r="IR1" s="14">
        <f t="shared" si="4"/>
        <v>44448</v>
      </c>
      <c r="IS1" s="14">
        <f t="shared" si="4"/>
        <v>44449</v>
      </c>
      <c r="IT1" s="14">
        <f t="shared" si="4"/>
        <v>44450</v>
      </c>
      <c r="IU1" s="14">
        <f t="shared" si="4"/>
        <v>44451</v>
      </c>
      <c r="IV1" s="14">
        <f t="shared" si="4"/>
        <v>44452</v>
      </c>
      <c r="IW1" s="14">
        <f t="shared" si="4"/>
        <v>44453</v>
      </c>
      <c r="IX1" s="14">
        <f t="shared" si="4"/>
        <v>44454</v>
      </c>
      <c r="IY1" s="14">
        <f t="shared" si="4"/>
        <v>44455</v>
      </c>
      <c r="IZ1" s="14">
        <f t="shared" si="4"/>
        <v>44456</v>
      </c>
      <c r="JA1" s="14">
        <f t="shared" si="4"/>
        <v>44457</v>
      </c>
      <c r="JB1" s="14">
        <f t="shared" si="4"/>
        <v>44458</v>
      </c>
      <c r="JC1" s="14">
        <f t="shared" si="4"/>
        <v>44459</v>
      </c>
      <c r="JD1" s="14">
        <f t="shared" si="4"/>
        <v>44460</v>
      </c>
      <c r="JE1" s="14">
        <f t="shared" si="4"/>
        <v>44461</v>
      </c>
      <c r="JF1" s="14">
        <f t="shared" si="4"/>
        <v>44462</v>
      </c>
      <c r="JG1" s="14">
        <f>JF1+1</f>
        <v>44463</v>
      </c>
      <c r="JH1" s="14">
        <f t="shared" ref="JH1:LL1" si="5">JG1+1</f>
        <v>44464</v>
      </c>
      <c r="JI1" s="14">
        <f t="shared" si="5"/>
        <v>44465</v>
      </c>
      <c r="JJ1" s="14">
        <f t="shared" si="5"/>
        <v>44466</v>
      </c>
      <c r="JK1" s="14">
        <f t="shared" si="5"/>
        <v>44467</v>
      </c>
      <c r="JL1" s="14">
        <f t="shared" si="5"/>
        <v>44468</v>
      </c>
      <c r="JM1" s="14">
        <f t="shared" si="5"/>
        <v>44469</v>
      </c>
      <c r="JN1" s="14">
        <f t="shared" si="5"/>
        <v>44470</v>
      </c>
      <c r="JO1" s="14">
        <f t="shared" si="5"/>
        <v>44471</v>
      </c>
      <c r="JP1" s="14">
        <f t="shared" si="5"/>
        <v>44472</v>
      </c>
      <c r="JQ1" s="14">
        <f t="shared" si="5"/>
        <v>44473</v>
      </c>
      <c r="JR1" s="14">
        <f t="shared" si="5"/>
        <v>44474</v>
      </c>
      <c r="JS1" s="14">
        <f t="shared" si="5"/>
        <v>44475</v>
      </c>
      <c r="JT1" s="14">
        <f t="shared" si="5"/>
        <v>44476</v>
      </c>
      <c r="JU1" s="14">
        <f t="shared" si="5"/>
        <v>44477</v>
      </c>
      <c r="JV1" s="14">
        <f t="shared" si="5"/>
        <v>44478</v>
      </c>
      <c r="JW1" s="14">
        <f t="shared" si="5"/>
        <v>44479</v>
      </c>
      <c r="JX1" s="14">
        <f t="shared" si="5"/>
        <v>44480</v>
      </c>
      <c r="JY1" s="14">
        <f t="shared" si="5"/>
        <v>44481</v>
      </c>
      <c r="JZ1" s="14">
        <f t="shared" si="5"/>
        <v>44482</v>
      </c>
      <c r="KA1" s="14">
        <f t="shared" si="5"/>
        <v>44483</v>
      </c>
      <c r="KB1" s="14">
        <f t="shared" si="5"/>
        <v>44484</v>
      </c>
      <c r="KC1" s="14">
        <f t="shared" si="5"/>
        <v>44485</v>
      </c>
      <c r="KD1" s="14">
        <f t="shared" si="5"/>
        <v>44486</v>
      </c>
      <c r="KE1" s="14">
        <f t="shared" si="5"/>
        <v>44487</v>
      </c>
      <c r="KF1" s="14">
        <f t="shared" si="5"/>
        <v>44488</v>
      </c>
      <c r="KG1" s="14">
        <f t="shared" si="5"/>
        <v>44489</v>
      </c>
      <c r="KH1" s="14">
        <f t="shared" si="5"/>
        <v>44490</v>
      </c>
      <c r="KI1" s="14">
        <f t="shared" si="5"/>
        <v>44491</v>
      </c>
      <c r="KJ1" s="14">
        <f t="shared" si="5"/>
        <v>44492</v>
      </c>
      <c r="KK1" s="14">
        <f t="shared" si="5"/>
        <v>44493</v>
      </c>
      <c r="KL1" s="14">
        <f t="shared" si="5"/>
        <v>44494</v>
      </c>
      <c r="KM1" s="14">
        <f t="shared" si="5"/>
        <v>44495</v>
      </c>
      <c r="KN1" s="14">
        <f t="shared" si="5"/>
        <v>44496</v>
      </c>
      <c r="KO1" s="14">
        <f t="shared" si="5"/>
        <v>44497</v>
      </c>
      <c r="KP1" s="14">
        <f t="shared" si="5"/>
        <v>44498</v>
      </c>
      <c r="KQ1" s="14">
        <f t="shared" si="5"/>
        <v>44499</v>
      </c>
      <c r="KR1" s="14">
        <f t="shared" si="5"/>
        <v>44500</v>
      </c>
      <c r="KS1" s="14">
        <f t="shared" si="5"/>
        <v>44501</v>
      </c>
      <c r="KT1" s="14">
        <f t="shared" si="5"/>
        <v>44502</v>
      </c>
      <c r="KU1" s="14">
        <f t="shared" si="5"/>
        <v>44503</v>
      </c>
      <c r="KV1" s="14">
        <f t="shared" si="5"/>
        <v>44504</v>
      </c>
      <c r="KW1" s="14">
        <f t="shared" si="5"/>
        <v>44505</v>
      </c>
      <c r="KX1" s="14">
        <f t="shared" si="5"/>
        <v>44506</v>
      </c>
      <c r="KY1" s="14">
        <f t="shared" si="5"/>
        <v>44507</v>
      </c>
      <c r="KZ1" s="14">
        <f t="shared" si="5"/>
        <v>44508</v>
      </c>
      <c r="LA1" s="14">
        <f t="shared" si="5"/>
        <v>44509</v>
      </c>
      <c r="LB1" s="14">
        <f t="shared" si="5"/>
        <v>44510</v>
      </c>
      <c r="LC1" s="14">
        <f t="shared" si="5"/>
        <v>44511</v>
      </c>
      <c r="LD1" s="14">
        <f t="shared" si="5"/>
        <v>44512</v>
      </c>
      <c r="LE1" s="14">
        <f t="shared" si="5"/>
        <v>44513</v>
      </c>
      <c r="LF1" s="14">
        <f t="shared" si="5"/>
        <v>44514</v>
      </c>
      <c r="LG1" s="14">
        <f t="shared" si="5"/>
        <v>44515</v>
      </c>
      <c r="LH1" s="14">
        <f t="shared" si="5"/>
        <v>44516</v>
      </c>
      <c r="LI1" s="14">
        <f t="shared" si="5"/>
        <v>44517</v>
      </c>
      <c r="LJ1" s="14">
        <f t="shared" si="5"/>
        <v>44518</v>
      </c>
      <c r="LK1" s="14">
        <f t="shared" si="5"/>
        <v>44519</v>
      </c>
      <c r="LL1" s="14">
        <f t="shared" si="5"/>
        <v>44520</v>
      </c>
      <c r="LM1" s="14">
        <f>LL1+1</f>
        <v>44521</v>
      </c>
      <c r="LN1" s="14">
        <f t="shared" ref="LN1:MZ1" si="6">LM1+1</f>
        <v>44522</v>
      </c>
      <c r="LO1" s="14">
        <f t="shared" si="6"/>
        <v>44523</v>
      </c>
      <c r="LP1" s="14">
        <f t="shared" si="6"/>
        <v>44524</v>
      </c>
      <c r="LQ1" s="14">
        <f t="shared" si="6"/>
        <v>44525</v>
      </c>
      <c r="LR1" s="14">
        <f t="shared" si="6"/>
        <v>44526</v>
      </c>
      <c r="LS1" s="14">
        <f t="shared" si="6"/>
        <v>44527</v>
      </c>
      <c r="LT1" s="14">
        <f t="shared" si="6"/>
        <v>44528</v>
      </c>
      <c r="LU1" s="14">
        <f t="shared" si="6"/>
        <v>44529</v>
      </c>
      <c r="LV1" s="14">
        <f t="shared" si="6"/>
        <v>44530</v>
      </c>
      <c r="LW1" s="14">
        <f t="shared" si="6"/>
        <v>44531</v>
      </c>
      <c r="LX1" s="14">
        <f t="shared" si="6"/>
        <v>44532</v>
      </c>
      <c r="LY1" s="14">
        <f t="shared" si="6"/>
        <v>44533</v>
      </c>
      <c r="LZ1" s="14">
        <f t="shared" si="6"/>
        <v>44534</v>
      </c>
      <c r="MA1" s="14">
        <f t="shared" si="6"/>
        <v>44535</v>
      </c>
      <c r="MB1" s="14">
        <f t="shared" si="6"/>
        <v>44536</v>
      </c>
      <c r="MC1" s="14">
        <f t="shared" si="6"/>
        <v>44537</v>
      </c>
      <c r="MD1" s="14">
        <f t="shared" si="6"/>
        <v>44538</v>
      </c>
      <c r="ME1" s="14">
        <f t="shared" si="6"/>
        <v>44539</v>
      </c>
      <c r="MF1" s="14">
        <f t="shared" si="6"/>
        <v>44540</v>
      </c>
      <c r="MG1" s="14">
        <f t="shared" si="6"/>
        <v>44541</v>
      </c>
      <c r="MH1" s="14">
        <f t="shared" si="6"/>
        <v>44542</v>
      </c>
      <c r="MI1" s="14">
        <f t="shared" si="6"/>
        <v>44543</v>
      </c>
      <c r="MJ1" s="14">
        <f t="shared" si="6"/>
        <v>44544</v>
      </c>
      <c r="MK1" s="14">
        <f t="shared" si="6"/>
        <v>44545</v>
      </c>
      <c r="ML1" s="14">
        <f t="shared" si="6"/>
        <v>44546</v>
      </c>
      <c r="MM1" s="14">
        <f t="shared" si="6"/>
        <v>44547</v>
      </c>
      <c r="MN1" s="14">
        <f t="shared" si="6"/>
        <v>44548</v>
      </c>
      <c r="MO1" s="14">
        <f t="shared" si="6"/>
        <v>44549</v>
      </c>
      <c r="MP1" s="14">
        <f t="shared" si="6"/>
        <v>44550</v>
      </c>
      <c r="MQ1" s="14">
        <f t="shared" si="6"/>
        <v>44551</v>
      </c>
      <c r="MR1" s="14">
        <f t="shared" si="6"/>
        <v>44552</v>
      </c>
      <c r="MS1" s="14">
        <f t="shared" si="6"/>
        <v>44553</v>
      </c>
      <c r="MT1" s="14">
        <f t="shared" si="6"/>
        <v>44554</v>
      </c>
      <c r="MU1" s="14">
        <f t="shared" si="6"/>
        <v>44555</v>
      </c>
      <c r="MV1" s="14">
        <f t="shared" si="6"/>
        <v>44556</v>
      </c>
      <c r="MW1" s="14">
        <f t="shared" si="6"/>
        <v>44557</v>
      </c>
      <c r="MX1" s="14">
        <f t="shared" si="6"/>
        <v>44558</v>
      </c>
      <c r="MY1" s="14">
        <f t="shared" si="6"/>
        <v>44559</v>
      </c>
      <c r="MZ1" s="14">
        <f t="shared" si="6"/>
        <v>44560</v>
      </c>
      <c r="NA1" s="14">
        <f>MZ1+1</f>
        <v>44561</v>
      </c>
      <c r="NB1" s="14" t="str">
        <f>IF(YEAR(NA1+1)=YEAR(NA1),NA1+1,"")</f>
        <v/>
      </c>
    </row>
    <row r="40" spans="3:365">
      <c r="C40" s="52"/>
      <c r="LI40" s="52"/>
      <c r="LJ40" s="52"/>
      <c r="LK40" s="52"/>
      <c r="NA40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34</vt:i4>
      </vt:variant>
    </vt:vector>
  </HeadingPairs>
  <TitlesOfParts>
    <vt:vector size="42" baseType="lpstr">
      <vt:lpstr>ADMIN</vt:lpstr>
      <vt:lpstr>Staff</vt:lpstr>
      <vt:lpstr>2022</vt:lpstr>
      <vt:lpstr>Schedule</vt:lpstr>
      <vt:lpstr>Tasks</vt:lpstr>
      <vt:lpstr>Memo</vt:lpstr>
      <vt:lpstr>Completed</vt:lpstr>
      <vt:lpstr>2021</vt:lpstr>
      <vt:lpstr>AddMemo</vt:lpstr>
      <vt:lpstr>AddTask</vt:lpstr>
      <vt:lpstr>ApDur</vt:lpstr>
      <vt:lpstr>calSyncRow</vt:lpstr>
      <vt:lpstr>DayAbb</vt:lpstr>
      <vt:lpstr>dayCalendar</vt:lpstr>
      <vt:lpstr>DayForAll</vt:lpstr>
      <vt:lpstr>Days</vt:lpstr>
      <vt:lpstr>DbCol</vt:lpstr>
      <vt:lpstr>EmailTo</vt:lpstr>
      <vt:lpstr>EndCol</vt:lpstr>
      <vt:lpstr>Interval</vt:lpstr>
      <vt:lpstr>Intervals</vt:lpstr>
      <vt:lpstr>MailSchedule</vt:lpstr>
      <vt:lpstr>mainUser</vt:lpstr>
      <vt:lpstr>monthCalendar</vt:lpstr>
      <vt:lpstr>Months</vt:lpstr>
      <vt:lpstr>PrintControls</vt:lpstr>
      <vt:lpstr>ScYear</vt:lpstr>
      <vt:lpstr>selDate</vt:lpstr>
      <vt:lpstr>SelMonth</vt:lpstr>
      <vt:lpstr>selMonthDay</vt:lpstr>
      <vt:lpstr>SeparateRanges</vt:lpstr>
      <vt:lpstr>StartCol</vt:lpstr>
      <vt:lpstr>StartDay</vt:lpstr>
      <vt:lpstr>StartDayNumb</vt:lpstr>
      <vt:lpstr>StartTime</vt:lpstr>
      <vt:lpstr>Times</vt:lpstr>
      <vt:lpstr>weekCalendar</vt:lpstr>
      <vt:lpstr>Weekdays</vt:lpstr>
      <vt:lpstr>weekOffset</vt:lpstr>
      <vt:lpstr>YearCalendar</vt:lpstr>
      <vt:lpstr>YesNoDD</vt:lpstr>
      <vt:lpstr>ZipTheFiles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2021-12-02T12:22:30Z</cp:lastPrinted>
  <dcterms:created xsi:type="dcterms:W3CDTF">2021-11-29T09:49:15Z</dcterms:created>
  <dcterms:modified xsi:type="dcterms:W3CDTF">2021-12-03T06:37:06Z</dcterms:modified>
</cp:coreProperties>
</file>